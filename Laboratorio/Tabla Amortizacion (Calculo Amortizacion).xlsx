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13_ncr:1_{6D7C2294-9D7A-4AE5-8EE3-EC3FB30C60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- AYUDA -" sheetId="1" r:id="rId1"/>
    <sheet name="Amortización de Préstamos" sheetId="2" r:id="rId2"/>
    <sheet name="Auxiliar" sheetId="3" state="hidden" r:id="rId3"/>
  </sheets>
  <definedNames>
    <definedName name="_Fill" hidden="1">#REF!</definedName>
    <definedName name="Periodicidad">Auxiliar!$A$2:$B$7</definedName>
    <definedName name="Periodos">Auxiliar!$A$2:$A$7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F10" i="2"/>
  <c r="E10" i="2"/>
  <c r="D10" i="2"/>
  <c r="D8" i="2"/>
  <c r="D7" i="2" s="1"/>
  <c r="B2" i="3"/>
  <c r="G13" i="2" l="1"/>
  <c r="G4" i="2"/>
  <c r="D9" i="2" l="1"/>
  <c r="C14" i="2" s="1"/>
  <c r="D14" i="2" l="1"/>
  <c r="C15" i="2"/>
  <c r="E14" i="2"/>
  <c r="F14" i="2" l="1"/>
  <c r="G14" i="2" s="1"/>
  <c r="E15" i="2" s="1"/>
  <c r="D15" i="2"/>
  <c r="C16" i="2"/>
  <c r="F15" i="2" l="1"/>
  <c r="G15" i="2" s="1"/>
  <c r="E16" i="2" s="1"/>
  <c r="C17" i="2"/>
  <c r="D16" i="2"/>
  <c r="F16" i="2" l="1"/>
  <c r="G16" i="2" s="1"/>
  <c r="E17" i="2" s="1"/>
  <c r="C18" i="2"/>
  <c r="D17" i="2"/>
  <c r="F17" i="2" l="1"/>
  <c r="G17" i="2" s="1"/>
  <c r="E18" i="2" s="1"/>
  <c r="C19" i="2"/>
  <c r="D18" i="2"/>
  <c r="F18" i="2" l="1"/>
  <c r="G18" i="2" s="1"/>
  <c r="E19" i="2" s="1"/>
  <c r="D19" i="2"/>
  <c r="C20" i="2"/>
  <c r="F19" i="2" l="1"/>
  <c r="G19" i="2" s="1"/>
  <c r="E20" i="2" s="1"/>
  <c r="C21" i="2"/>
  <c r="D20" i="2"/>
  <c r="F20" i="2" l="1"/>
  <c r="G20" i="2" s="1"/>
  <c r="E21" i="2" s="1"/>
  <c r="D21" i="2"/>
  <c r="C22" i="2"/>
  <c r="F21" i="2" l="1"/>
  <c r="G21" i="2" s="1"/>
  <c r="E22" i="2" s="1"/>
  <c r="C23" i="2"/>
  <c r="D22" i="2"/>
  <c r="F22" i="2" l="1"/>
  <c r="G22" i="2" s="1"/>
  <c r="E23" i="2" s="1"/>
  <c r="D23" i="2"/>
  <c r="C24" i="2"/>
  <c r="F23" i="2" l="1"/>
  <c r="G23" i="2" s="1"/>
  <c r="E24" i="2" s="1"/>
  <c r="C25" i="2"/>
  <c r="D24" i="2"/>
  <c r="F24" i="2" l="1"/>
  <c r="G24" i="2" s="1"/>
  <c r="E25" i="2" s="1"/>
  <c r="C26" i="2"/>
  <c r="D25" i="2"/>
  <c r="F25" i="2" l="1"/>
  <c r="G25" i="2" s="1"/>
  <c r="E26" i="2" s="1"/>
  <c r="D26" i="2"/>
  <c r="C27" i="2"/>
  <c r="F26" i="2" l="1"/>
  <c r="G26" i="2" s="1"/>
  <c r="E27" i="2" s="1"/>
  <c r="C28" i="2"/>
  <c r="D27" i="2"/>
  <c r="F27" i="2" l="1"/>
  <c r="G27" i="2" s="1"/>
  <c r="E28" i="2" s="1"/>
  <c r="D28" i="2"/>
  <c r="C29" i="2"/>
  <c r="F28" i="2" l="1"/>
  <c r="G28" i="2" s="1"/>
  <c r="E29" i="2" s="1"/>
  <c r="D29" i="2"/>
  <c r="C30" i="2"/>
  <c r="F29" i="2" l="1"/>
  <c r="G29" i="2" s="1"/>
  <c r="E30" i="2" s="1"/>
  <c r="D30" i="2"/>
  <c r="C31" i="2"/>
  <c r="F30" i="2" l="1"/>
  <c r="G30" i="2" s="1"/>
  <c r="E31" i="2" s="1"/>
  <c r="C32" i="2"/>
  <c r="D31" i="2"/>
  <c r="F31" i="2" l="1"/>
  <c r="G31" i="2" s="1"/>
  <c r="E32" i="2" s="1"/>
  <c r="D32" i="2"/>
  <c r="C33" i="2"/>
  <c r="F32" i="2" l="1"/>
  <c r="G32" i="2" s="1"/>
  <c r="E33" i="2" s="1"/>
  <c r="C34" i="2"/>
  <c r="D33" i="2"/>
  <c r="F33" i="2" l="1"/>
  <c r="G33" i="2" s="1"/>
  <c r="E34" i="2" s="1"/>
  <c r="D34" i="2"/>
  <c r="C35" i="2"/>
  <c r="F34" i="2" l="1"/>
  <c r="G34" i="2" s="1"/>
  <c r="E35" i="2" s="1"/>
  <c r="C36" i="2"/>
  <c r="D35" i="2"/>
  <c r="F35" i="2" l="1"/>
  <c r="G35" i="2" s="1"/>
  <c r="E36" i="2" s="1"/>
  <c r="C37" i="2"/>
  <c r="D36" i="2"/>
  <c r="F36" i="2" l="1"/>
  <c r="G36" i="2" s="1"/>
  <c r="E37" i="2" s="1"/>
  <c r="D37" i="2"/>
  <c r="C38" i="2"/>
  <c r="F37" i="2" l="1"/>
  <c r="G37" i="2" s="1"/>
  <c r="E38" i="2" s="1"/>
  <c r="C39" i="2"/>
  <c r="D38" i="2"/>
  <c r="F38" i="2" l="1"/>
  <c r="G38" i="2" s="1"/>
  <c r="E39" i="2" s="1"/>
  <c r="D39" i="2"/>
  <c r="C40" i="2"/>
  <c r="F39" i="2" l="1"/>
  <c r="G39" i="2" s="1"/>
  <c r="E40" i="2" s="1"/>
  <c r="C41" i="2"/>
  <c r="D40" i="2"/>
  <c r="F40" i="2" l="1"/>
  <c r="G40" i="2" s="1"/>
  <c r="E41" i="2" s="1"/>
  <c r="C42" i="2"/>
  <c r="D41" i="2"/>
  <c r="F41" i="2" l="1"/>
  <c r="G41" i="2" s="1"/>
  <c r="E42" i="2" s="1"/>
  <c r="C43" i="2"/>
  <c r="D42" i="2"/>
  <c r="F42" i="2" l="1"/>
  <c r="G42" i="2" s="1"/>
  <c r="D43" i="2"/>
  <c r="E43" i="2"/>
  <c r="C44" i="2"/>
  <c r="F43" i="2" l="1"/>
  <c r="G43" i="2" s="1"/>
  <c r="E44" i="2" s="1"/>
  <c r="C45" i="2"/>
  <c r="D44" i="2"/>
  <c r="F44" i="2" l="1"/>
  <c r="G44" i="2" s="1"/>
  <c r="E45" i="2" s="1"/>
  <c r="D45" i="2"/>
  <c r="C46" i="2"/>
  <c r="F45" i="2" l="1"/>
  <c r="G45" i="2" s="1"/>
  <c r="E46" i="2" s="1"/>
  <c r="C47" i="2"/>
  <c r="D46" i="2"/>
  <c r="F46" i="2" l="1"/>
  <c r="G46" i="2" s="1"/>
  <c r="E47" i="2" s="1"/>
  <c r="C48" i="2"/>
  <c r="D47" i="2"/>
  <c r="F47" i="2" l="1"/>
  <c r="G47" i="2" s="1"/>
  <c r="E48" i="2"/>
  <c r="D48" i="2"/>
  <c r="C49" i="2"/>
  <c r="F48" i="2" l="1"/>
  <c r="G48" i="2" s="1"/>
  <c r="C50" i="2"/>
  <c r="E49" i="2"/>
  <c r="D49" i="2"/>
  <c r="F49" i="2" s="1"/>
  <c r="G49" i="2" s="1"/>
  <c r="E50" i="2" l="1"/>
  <c r="D50" i="2"/>
  <c r="C51" i="2"/>
  <c r="F50" i="2" l="1"/>
  <c r="G50" i="2" s="1"/>
  <c r="E51" i="2" s="1"/>
  <c r="C52" i="2"/>
  <c r="D51" i="2"/>
  <c r="F51" i="2" l="1"/>
  <c r="G51" i="2" s="1"/>
  <c r="E52" i="2" s="1"/>
  <c r="D52" i="2"/>
  <c r="C53" i="2"/>
  <c r="F52" i="2" l="1"/>
  <c r="G52" i="2" s="1"/>
  <c r="E53" i="2" s="1"/>
  <c r="D53" i="2"/>
  <c r="C54" i="2"/>
  <c r="F53" i="2" l="1"/>
  <c r="G53" i="2" s="1"/>
  <c r="E54" i="2" s="1"/>
  <c r="D54" i="2"/>
  <c r="C55" i="2"/>
  <c r="F54" i="2" l="1"/>
  <c r="G54" i="2" s="1"/>
  <c r="C56" i="2"/>
  <c r="E55" i="2"/>
  <c r="D55" i="2"/>
  <c r="F55" i="2" l="1"/>
  <c r="G55" i="2" s="1"/>
  <c r="E56" i="2"/>
  <c r="C57" i="2"/>
  <c r="D56" i="2"/>
  <c r="F56" i="2" s="1"/>
  <c r="G56" i="2" s="1"/>
  <c r="C58" i="2" l="1"/>
  <c r="E57" i="2"/>
  <c r="D57" i="2"/>
  <c r="F57" i="2" l="1"/>
  <c r="G57" i="2" s="1"/>
  <c r="C59" i="2"/>
  <c r="D58" i="2"/>
  <c r="E58" i="2"/>
  <c r="F58" i="2" l="1"/>
  <c r="G58" i="2" s="1"/>
  <c r="E59" i="2" s="1"/>
  <c r="D59" i="2"/>
  <c r="C60" i="2"/>
  <c r="F59" i="2" l="1"/>
  <c r="G59" i="2" s="1"/>
  <c r="E60" i="2" s="1"/>
  <c r="C61" i="2"/>
  <c r="D60" i="2"/>
  <c r="F60" i="2" l="1"/>
  <c r="G60" i="2" s="1"/>
  <c r="D61" i="2"/>
  <c r="E61" i="2"/>
  <c r="C62" i="2"/>
  <c r="F61" i="2" l="1"/>
  <c r="G61" i="2" s="1"/>
  <c r="C63" i="2"/>
  <c r="E62" i="2"/>
  <c r="D62" i="2"/>
  <c r="F62" i="2" s="1"/>
  <c r="G62" i="2" s="1"/>
  <c r="E63" i="2" l="1"/>
  <c r="D63" i="2"/>
  <c r="F63" i="2" s="1"/>
  <c r="G63" i="2" s="1"/>
  <c r="C64" i="2"/>
  <c r="E64" i="2" l="1"/>
  <c r="C65" i="2"/>
  <c r="D64" i="2"/>
  <c r="F64" i="2" s="1"/>
  <c r="G64" i="2" s="1"/>
  <c r="C66" i="2" l="1"/>
  <c r="D65" i="2"/>
  <c r="E65" i="2"/>
  <c r="F65" i="2" l="1"/>
  <c r="G65" i="2" s="1"/>
  <c r="C67" i="2"/>
  <c r="E66" i="2"/>
  <c r="D66" i="2"/>
  <c r="F66" i="2" l="1"/>
  <c r="G66" i="2" s="1"/>
  <c r="C68" i="2"/>
  <c r="E67" i="2"/>
  <c r="D67" i="2"/>
  <c r="F67" i="2" s="1"/>
  <c r="G67" i="2" s="1"/>
  <c r="E68" i="2" l="1"/>
  <c r="D68" i="2"/>
  <c r="F68" i="2" s="1"/>
  <c r="G68" i="2" s="1"/>
  <c r="C69" i="2"/>
  <c r="D69" i="2" l="1"/>
  <c r="C70" i="2"/>
  <c r="E69" i="2"/>
  <c r="F69" i="2" l="1"/>
  <c r="G69" i="2" s="1"/>
  <c r="E70" i="2" s="1"/>
  <c r="D70" i="2"/>
  <c r="C71" i="2"/>
  <c r="F70" i="2" l="1"/>
  <c r="G70" i="2" s="1"/>
  <c r="E71" i="2" s="1"/>
  <c r="C72" i="2"/>
  <c r="D71" i="2"/>
  <c r="F71" i="2" l="1"/>
  <c r="G71" i="2" s="1"/>
  <c r="E72" i="2" s="1"/>
  <c r="D72" i="2"/>
  <c r="C73" i="2"/>
  <c r="F72" i="2" l="1"/>
  <c r="G72" i="2" s="1"/>
  <c r="E73" i="2" s="1"/>
  <c r="C74" i="2"/>
  <c r="D73" i="2"/>
  <c r="F73" i="2" l="1"/>
  <c r="G73" i="2" s="1"/>
  <c r="E74" i="2"/>
  <c r="D74" i="2"/>
  <c r="F74" i="2" s="1"/>
  <c r="G74" i="2" s="1"/>
  <c r="C75" i="2"/>
  <c r="E75" i="2" l="1"/>
  <c r="C76" i="2"/>
  <c r="D75" i="2"/>
  <c r="F75" i="2" s="1"/>
  <c r="G75" i="2" s="1"/>
  <c r="C77" i="2" l="1"/>
  <c r="E76" i="2"/>
  <c r="D76" i="2"/>
  <c r="F76" i="2" s="1"/>
  <c r="G76" i="2" s="1"/>
  <c r="D77" i="2" l="1"/>
  <c r="C78" i="2"/>
  <c r="E77" i="2"/>
  <c r="F77" i="2" l="1"/>
  <c r="G77" i="2" s="1"/>
  <c r="E78" i="2" s="1"/>
  <c r="D78" i="2"/>
  <c r="C79" i="2"/>
  <c r="F78" i="2" l="1"/>
  <c r="G78" i="2" s="1"/>
  <c r="D79" i="2"/>
  <c r="C80" i="2"/>
  <c r="E79" i="2"/>
  <c r="F79" i="2" l="1"/>
  <c r="G79" i="2" s="1"/>
  <c r="E80" i="2" s="1"/>
  <c r="C81" i="2"/>
  <c r="D80" i="2"/>
  <c r="F80" i="2" l="1"/>
  <c r="G80" i="2" s="1"/>
  <c r="D81" i="2"/>
  <c r="F81" i="2" s="1"/>
  <c r="G81" i="2" s="1"/>
  <c r="E81" i="2"/>
  <c r="C82" i="2"/>
  <c r="E82" i="2" l="1"/>
  <c r="D82" i="2"/>
  <c r="F82" i="2" s="1"/>
  <c r="G82" i="2" s="1"/>
  <c r="C83" i="2"/>
  <c r="C84" i="2" l="1"/>
  <c r="E83" i="2"/>
  <c r="D83" i="2"/>
  <c r="F83" i="2" s="1"/>
  <c r="G83" i="2" s="1"/>
  <c r="E84" i="2" l="1"/>
  <c r="D84" i="2"/>
  <c r="F84" i="2" s="1"/>
  <c r="G84" i="2" s="1"/>
  <c r="C85" i="2"/>
  <c r="C86" i="2" l="1"/>
  <c r="E85" i="2"/>
  <c r="D85" i="2"/>
  <c r="F85" i="2" l="1"/>
  <c r="G85" i="2" s="1"/>
  <c r="D86" i="2"/>
  <c r="E86" i="2"/>
  <c r="C87" i="2"/>
  <c r="F86" i="2" l="1"/>
  <c r="G86" i="2" s="1"/>
  <c r="D87" i="2"/>
  <c r="C88" i="2"/>
  <c r="E87" i="2"/>
  <c r="F87" i="2" s="1"/>
  <c r="G87" i="2" s="1"/>
  <c r="E88" i="2" l="1"/>
  <c r="D88" i="2"/>
  <c r="F88" i="2" s="1"/>
  <c r="G88" i="2" s="1"/>
  <c r="C89" i="2"/>
  <c r="C90" i="2" l="1"/>
  <c r="E89" i="2"/>
  <c r="D89" i="2"/>
  <c r="F89" i="2" s="1"/>
  <c r="G89" i="2" s="1"/>
  <c r="E90" i="2" l="1"/>
  <c r="D90" i="2"/>
  <c r="F90" i="2" s="1"/>
  <c r="G90" i="2" s="1"/>
  <c r="C91" i="2"/>
  <c r="C92" i="2" l="1"/>
  <c r="E91" i="2"/>
  <c r="D91" i="2"/>
  <c r="F91" i="2" s="1"/>
  <c r="G91" i="2" s="1"/>
  <c r="C93" i="2" l="1"/>
  <c r="E92" i="2"/>
  <c r="D92" i="2"/>
  <c r="F92" i="2" s="1"/>
  <c r="G92" i="2" s="1"/>
  <c r="E93" i="2" l="1"/>
  <c r="D93" i="2"/>
  <c r="F93" i="2" s="1"/>
  <c r="G93" i="2" s="1"/>
  <c r="C94" i="2"/>
  <c r="C95" i="2" l="1"/>
  <c r="E94" i="2"/>
  <c r="D94" i="2"/>
  <c r="F94" i="2" s="1"/>
  <c r="G94" i="2" s="1"/>
  <c r="D95" i="2" l="1"/>
  <c r="E95" i="2"/>
  <c r="C96" i="2"/>
  <c r="F95" i="2" l="1"/>
  <c r="G95" i="2" s="1"/>
  <c r="C97" i="2"/>
  <c r="E96" i="2"/>
  <c r="D96" i="2"/>
  <c r="F96" i="2" s="1"/>
  <c r="G96" i="2" s="1"/>
  <c r="D97" i="2" l="1"/>
  <c r="C98" i="2"/>
  <c r="E97" i="2"/>
  <c r="F97" i="2" s="1"/>
  <c r="G97" i="2" s="1"/>
  <c r="E98" i="2" l="1"/>
  <c r="C99" i="2"/>
  <c r="D98" i="2"/>
  <c r="F98" i="2" s="1"/>
  <c r="G98" i="2" s="1"/>
  <c r="C100" i="2" l="1"/>
  <c r="E99" i="2"/>
  <c r="D99" i="2"/>
  <c r="F99" i="2" s="1"/>
  <c r="G99" i="2" s="1"/>
  <c r="E100" i="2" l="1"/>
  <c r="D100" i="2"/>
  <c r="F100" i="2" s="1"/>
  <c r="G100" i="2" s="1"/>
  <c r="C101" i="2"/>
  <c r="C102" i="2" l="1"/>
  <c r="E101" i="2"/>
  <c r="D101" i="2"/>
  <c r="F101" i="2" s="1"/>
  <c r="G101" i="2" s="1"/>
  <c r="E102" i="2" l="1"/>
  <c r="C103" i="2"/>
  <c r="D102" i="2"/>
  <c r="F102" i="2" s="1"/>
  <c r="G102" i="2" s="1"/>
  <c r="D103" i="2" l="1"/>
  <c r="C104" i="2"/>
  <c r="E103" i="2"/>
  <c r="F103" i="2" s="1"/>
  <c r="G103" i="2" s="1"/>
  <c r="E104" i="2" l="1"/>
  <c r="D104" i="2"/>
  <c r="F104" i="2" s="1"/>
  <c r="G104" i="2" s="1"/>
  <c r="C105" i="2"/>
  <c r="C106" i="2" l="1"/>
  <c r="E105" i="2"/>
  <c r="D105" i="2"/>
  <c r="F105" i="2" s="1"/>
  <c r="G105" i="2" s="1"/>
  <c r="E106" i="2" l="1"/>
  <c r="D106" i="2"/>
  <c r="F106" i="2" s="1"/>
  <c r="G106" i="2" s="1"/>
  <c r="C107" i="2"/>
  <c r="C108" i="2" l="1"/>
  <c r="E107" i="2"/>
  <c r="D107" i="2"/>
  <c r="F107" i="2" s="1"/>
  <c r="G107" i="2" s="1"/>
  <c r="D108" i="2" l="1"/>
  <c r="C109" i="2"/>
  <c r="E108" i="2"/>
  <c r="F108" i="2" s="1"/>
  <c r="G108" i="2" s="1"/>
  <c r="C110" i="2" l="1"/>
  <c r="E109" i="2"/>
  <c r="D109" i="2"/>
  <c r="F109" i="2" s="1"/>
  <c r="G109" i="2" s="1"/>
  <c r="E110" i="2" l="1"/>
  <c r="D110" i="2"/>
  <c r="F110" i="2" s="1"/>
  <c r="G110" i="2" s="1"/>
  <c r="C111" i="2"/>
  <c r="D111" i="2" l="1"/>
  <c r="C112" i="2"/>
  <c r="E111" i="2"/>
  <c r="F111" i="2" l="1"/>
  <c r="G111" i="2" s="1"/>
  <c r="E112" i="2" s="1"/>
  <c r="D112" i="2"/>
  <c r="C113" i="2"/>
  <c r="F112" i="2" l="1"/>
  <c r="G112" i="2" s="1"/>
  <c r="E113" i="2"/>
  <c r="C114" i="2"/>
  <c r="D113" i="2"/>
  <c r="F113" i="2" s="1"/>
  <c r="G113" i="2" s="1"/>
  <c r="E114" i="2" l="1"/>
  <c r="C115" i="2"/>
  <c r="D114" i="2"/>
  <c r="F114" i="2" s="1"/>
  <c r="G114" i="2" s="1"/>
  <c r="C116" i="2" l="1"/>
  <c r="E115" i="2"/>
  <c r="D115" i="2"/>
  <c r="F115" i="2" s="1"/>
  <c r="G115" i="2" s="1"/>
  <c r="C117" i="2" l="1"/>
  <c r="E116" i="2"/>
  <c r="D116" i="2"/>
  <c r="F116" i="2" s="1"/>
  <c r="G116" i="2" s="1"/>
  <c r="D117" i="2" l="1"/>
  <c r="E117" i="2"/>
  <c r="C118" i="2"/>
  <c r="F117" i="2" l="1"/>
  <c r="G117" i="2" s="1"/>
  <c r="C119" i="2"/>
  <c r="E118" i="2"/>
  <c r="D118" i="2"/>
  <c r="F118" i="2" s="1"/>
  <c r="G118" i="2" s="1"/>
  <c r="D119" i="2" l="1"/>
  <c r="C120" i="2"/>
  <c r="E119" i="2"/>
  <c r="F119" i="2" s="1"/>
  <c r="G119" i="2" s="1"/>
  <c r="C121" i="2" l="1"/>
  <c r="E120" i="2"/>
  <c r="D120" i="2"/>
  <c r="F120" i="2" s="1"/>
  <c r="G120" i="2" s="1"/>
  <c r="C122" i="2" l="1"/>
  <c r="E121" i="2"/>
  <c r="D121" i="2"/>
  <c r="F121" i="2" s="1"/>
  <c r="G121" i="2" s="1"/>
  <c r="E122" i="2" l="1"/>
  <c r="D122" i="2"/>
  <c r="F122" i="2" s="1"/>
  <c r="G122" i="2" s="1"/>
  <c r="C123" i="2"/>
  <c r="C124" i="2" l="1"/>
  <c r="E123" i="2"/>
  <c r="D123" i="2"/>
  <c r="F123" i="2" s="1"/>
  <c r="G123" i="2" s="1"/>
  <c r="E124" i="2" l="1"/>
  <c r="C125" i="2"/>
  <c r="D124" i="2"/>
  <c r="F124" i="2" s="1"/>
  <c r="G124" i="2" s="1"/>
  <c r="C126" i="2" l="1"/>
  <c r="E125" i="2"/>
  <c r="D125" i="2"/>
  <c r="F125" i="2" s="1"/>
  <c r="G125" i="2" s="1"/>
  <c r="E126" i="2" l="1"/>
  <c r="D126" i="2"/>
  <c r="F126" i="2" s="1"/>
  <c r="G126" i="2" s="1"/>
  <c r="C127" i="2"/>
  <c r="D127" i="2" l="1"/>
  <c r="C128" i="2"/>
  <c r="E127" i="2"/>
  <c r="F127" i="2" s="1"/>
  <c r="G127" i="2" s="1"/>
  <c r="D128" i="2" l="1"/>
  <c r="C129" i="2"/>
  <c r="E128" i="2"/>
  <c r="F128" i="2" l="1"/>
  <c r="G128" i="2" s="1"/>
  <c r="C130" i="2"/>
  <c r="E129" i="2"/>
  <c r="D129" i="2"/>
  <c r="F129" i="2" s="1"/>
  <c r="G129" i="2" s="1"/>
  <c r="E130" i="2" l="1"/>
  <c r="C131" i="2"/>
  <c r="D130" i="2"/>
  <c r="F130" i="2" s="1"/>
  <c r="G130" i="2" s="1"/>
  <c r="C132" i="2" l="1"/>
  <c r="E131" i="2"/>
  <c r="D131" i="2"/>
  <c r="F131" i="2" s="1"/>
  <c r="G131" i="2" s="1"/>
  <c r="E132" i="2" l="1"/>
  <c r="D132" i="2"/>
  <c r="F132" i="2" s="1"/>
  <c r="G132" i="2" s="1"/>
  <c r="C133" i="2"/>
  <c r="E133" i="2" l="1"/>
  <c r="C134" i="2"/>
  <c r="D133" i="2"/>
  <c r="F133" i="2" s="1"/>
  <c r="G133" i="2" s="1"/>
  <c r="F134" i="2" l="1"/>
  <c r="E134" i="2"/>
  <c r="D134" i="2"/>
  <c r="C135" i="2"/>
  <c r="G134" i="2"/>
  <c r="D135" i="2" l="1"/>
  <c r="F135" i="2"/>
  <c r="E135" i="2"/>
  <c r="C136" i="2"/>
  <c r="G135" i="2"/>
  <c r="G136" i="2" l="1"/>
  <c r="C137" i="2"/>
  <c r="F136" i="2"/>
  <c r="E136" i="2"/>
  <c r="D136" i="2"/>
  <c r="E137" i="2" l="1"/>
  <c r="D137" i="2"/>
  <c r="C138" i="2"/>
  <c r="G137" i="2"/>
  <c r="F137" i="2"/>
  <c r="E138" i="2" l="1"/>
  <c r="C139" i="2"/>
  <c r="G138" i="2"/>
  <c r="F138" i="2"/>
  <c r="D138" i="2"/>
  <c r="C140" i="2" l="1"/>
  <c r="D139" i="2"/>
  <c r="F139" i="2"/>
  <c r="E139" i="2"/>
  <c r="G139" i="2"/>
  <c r="C141" i="2" l="1"/>
  <c r="G140" i="2"/>
  <c r="F140" i="2"/>
  <c r="D140" i="2"/>
  <c r="E140" i="2"/>
  <c r="F141" i="2" l="1"/>
  <c r="C142" i="2"/>
  <c r="G141" i="2"/>
  <c r="E141" i="2"/>
  <c r="D141" i="2"/>
  <c r="G142" i="2" l="1"/>
  <c r="F142" i="2"/>
  <c r="C143" i="2"/>
  <c r="E142" i="2"/>
  <c r="D142" i="2"/>
  <c r="D143" i="2" l="1"/>
  <c r="C144" i="2"/>
  <c r="G143" i="2"/>
  <c r="F143" i="2"/>
  <c r="E143" i="2"/>
  <c r="G144" i="2" l="1"/>
  <c r="F144" i="2"/>
  <c r="E144" i="2"/>
  <c r="D144" i="2"/>
  <c r="C145" i="2"/>
  <c r="C146" i="2" l="1"/>
  <c r="G145" i="2"/>
  <c r="F145" i="2"/>
  <c r="E145" i="2"/>
  <c r="D145" i="2"/>
  <c r="E146" i="2" l="1"/>
  <c r="F146" i="2"/>
  <c r="D146" i="2"/>
  <c r="C147" i="2"/>
  <c r="G146" i="2"/>
  <c r="C148" i="2" l="1"/>
  <c r="G147" i="2"/>
  <c r="D147" i="2"/>
  <c r="F147" i="2"/>
  <c r="E147" i="2"/>
  <c r="E148" i="2" l="1"/>
  <c r="D148" i="2"/>
  <c r="C149" i="2"/>
  <c r="G148" i="2"/>
  <c r="F148" i="2"/>
  <c r="F149" i="2" l="1"/>
  <c r="C150" i="2"/>
  <c r="D149" i="2"/>
  <c r="G149" i="2"/>
  <c r="E149" i="2"/>
  <c r="D150" i="2" l="1"/>
  <c r="C151" i="2"/>
  <c r="G150" i="2"/>
  <c r="F150" i="2"/>
  <c r="E150" i="2"/>
  <c r="D151" i="2" l="1"/>
  <c r="C152" i="2"/>
  <c r="G151" i="2"/>
  <c r="F151" i="2"/>
  <c r="E151" i="2"/>
  <c r="G152" i="2" l="1"/>
  <c r="C153" i="2"/>
  <c r="F152" i="2"/>
  <c r="E152" i="2"/>
  <c r="D152" i="2"/>
  <c r="G153" i="2" l="1"/>
  <c r="F153" i="2"/>
  <c r="C154" i="2"/>
  <c r="E153" i="2"/>
  <c r="D153" i="2"/>
  <c r="E154" i="2" l="1"/>
  <c r="D154" i="2"/>
  <c r="C155" i="2"/>
  <c r="G154" i="2"/>
  <c r="F154" i="2"/>
  <c r="C156" i="2" l="1"/>
  <c r="F155" i="2"/>
  <c r="E155" i="2"/>
  <c r="G155" i="2"/>
  <c r="D155" i="2"/>
  <c r="F156" i="2" l="1"/>
  <c r="E156" i="2"/>
  <c r="D156" i="2"/>
  <c r="C157" i="2"/>
  <c r="G156" i="2"/>
  <c r="F157" i="2" l="1"/>
  <c r="E157" i="2"/>
  <c r="D157" i="2"/>
  <c r="C158" i="2"/>
  <c r="G157" i="2"/>
  <c r="C159" i="2" l="1"/>
  <c r="G158" i="2"/>
  <c r="F158" i="2"/>
  <c r="E158" i="2"/>
  <c r="D158" i="2"/>
  <c r="D159" i="2" l="1"/>
  <c r="E159" i="2"/>
  <c r="G159" i="2"/>
  <c r="F159" i="2"/>
  <c r="C160" i="2"/>
  <c r="G160" i="2" l="1"/>
  <c r="C161" i="2"/>
  <c r="F160" i="2"/>
  <c r="E160" i="2"/>
  <c r="D160" i="2"/>
  <c r="D161" i="2" l="1"/>
  <c r="F161" i="2"/>
  <c r="E161" i="2"/>
  <c r="C162" i="2"/>
  <c r="G161" i="2"/>
  <c r="E162" i="2" l="1"/>
  <c r="C163" i="2"/>
  <c r="G162" i="2"/>
  <c r="F162" i="2"/>
  <c r="D162" i="2"/>
  <c r="C164" i="2" l="1"/>
  <c r="G163" i="2"/>
  <c r="F163" i="2"/>
  <c r="E163" i="2"/>
  <c r="D163" i="2"/>
  <c r="G164" i="2" l="1"/>
  <c r="F164" i="2"/>
  <c r="C165" i="2"/>
  <c r="E164" i="2"/>
  <c r="D164" i="2"/>
  <c r="F165" i="2" l="1"/>
  <c r="C166" i="2"/>
  <c r="G165" i="2"/>
  <c r="E165" i="2"/>
  <c r="D165" i="2"/>
  <c r="F166" i="2" l="1"/>
  <c r="E166" i="2"/>
  <c r="D166" i="2"/>
  <c r="G166" i="2"/>
  <c r="C167" i="2"/>
  <c r="D167" i="2" l="1"/>
  <c r="C168" i="2"/>
  <c r="G167" i="2"/>
  <c r="F167" i="2"/>
  <c r="E167" i="2"/>
  <c r="G168" i="2" l="1"/>
  <c r="E168" i="2"/>
  <c r="D168" i="2"/>
  <c r="C169" i="2"/>
  <c r="F168" i="2"/>
  <c r="C170" i="2" l="1"/>
  <c r="G169" i="2"/>
  <c r="F169" i="2"/>
  <c r="E169" i="2"/>
  <c r="D169" i="2"/>
  <c r="E170" i="2" l="1"/>
  <c r="D170" i="2"/>
  <c r="C171" i="2"/>
  <c r="G170" i="2"/>
  <c r="F170" i="2"/>
  <c r="C172" i="2" l="1"/>
  <c r="G171" i="2"/>
  <c r="D171" i="2"/>
  <c r="F171" i="2"/>
  <c r="E171" i="2"/>
  <c r="D172" i="2" l="1"/>
  <c r="C173" i="2"/>
  <c r="G172" i="2"/>
  <c r="F172" i="2"/>
  <c r="E172" i="2"/>
  <c r="F173" i="2" l="1"/>
  <c r="C174" i="2"/>
  <c r="G173" i="2"/>
  <c r="E173" i="2"/>
  <c r="D173" i="2"/>
  <c r="C175" i="2" l="1"/>
  <c r="G174" i="2"/>
  <c r="F174" i="2"/>
  <c r="E174" i="2"/>
  <c r="D174" i="2"/>
  <c r="D175" i="2" l="1"/>
  <c r="G175" i="2"/>
  <c r="F175" i="2"/>
  <c r="C176" i="2"/>
  <c r="E175" i="2"/>
  <c r="G176" i="2" l="1"/>
  <c r="D176" i="2"/>
  <c r="C177" i="2"/>
  <c r="F176" i="2"/>
  <c r="E176" i="2"/>
  <c r="F177" i="2" l="1"/>
  <c r="E177" i="2"/>
  <c r="C178" i="2"/>
  <c r="G177" i="2"/>
  <c r="D177" i="2"/>
  <c r="E178" i="2" l="1"/>
  <c r="F178" i="2"/>
  <c r="D178" i="2"/>
  <c r="C179" i="2"/>
  <c r="G178" i="2"/>
  <c r="C180" i="2" l="1"/>
  <c r="E179" i="2"/>
  <c r="D179" i="2"/>
  <c r="G179" i="2"/>
  <c r="F179" i="2"/>
  <c r="C181" i="2" l="1"/>
  <c r="G180" i="2"/>
  <c r="F180" i="2"/>
  <c r="E180" i="2"/>
  <c r="D180" i="2"/>
  <c r="F181" i="2" l="1"/>
  <c r="D181" i="2"/>
  <c r="C182" i="2"/>
  <c r="G181" i="2"/>
  <c r="E181" i="2"/>
  <c r="C183" i="2" l="1"/>
  <c r="G182" i="2"/>
  <c r="F182" i="2"/>
  <c r="E182" i="2"/>
  <c r="D182" i="2"/>
  <c r="D183" i="2" l="1"/>
  <c r="F183" i="2"/>
  <c r="E183" i="2"/>
  <c r="C184" i="2"/>
  <c r="G183" i="2"/>
  <c r="G184" i="2" l="1"/>
  <c r="C185" i="2"/>
  <c r="F184" i="2"/>
  <c r="E184" i="2"/>
  <c r="D184" i="2"/>
  <c r="G185" i="2" l="1"/>
  <c r="F185" i="2"/>
  <c r="E185" i="2"/>
  <c r="D185" i="2"/>
  <c r="C186" i="2"/>
  <c r="E186" i="2" l="1"/>
  <c r="G186" i="2"/>
  <c r="F186" i="2"/>
  <c r="C187" i="2"/>
  <c r="D186" i="2"/>
  <c r="C188" i="2" l="1"/>
  <c r="G187" i="2"/>
  <c r="F187" i="2"/>
  <c r="E187" i="2"/>
  <c r="D187" i="2"/>
  <c r="F188" i="2" l="1"/>
  <c r="E188" i="2"/>
  <c r="D188" i="2"/>
  <c r="C189" i="2"/>
  <c r="G188" i="2"/>
  <c r="F189" i="2" l="1"/>
  <c r="C190" i="2"/>
  <c r="G189" i="2"/>
  <c r="E189" i="2"/>
  <c r="D189" i="2"/>
  <c r="E190" i="2" l="1"/>
  <c r="D190" i="2"/>
  <c r="G190" i="2"/>
  <c r="F190" i="2"/>
  <c r="C191" i="2"/>
  <c r="D191" i="2" l="1"/>
  <c r="C192" i="2"/>
  <c r="G191" i="2"/>
  <c r="F191" i="2"/>
  <c r="E191" i="2"/>
  <c r="G192" i="2" l="1"/>
  <c r="D192" i="2"/>
  <c r="C193" i="2"/>
  <c r="F192" i="2"/>
  <c r="E192" i="2"/>
  <c r="C194" i="2" l="1"/>
  <c r="G193" i="2"/>
  <c r="D193" i="2"/>
  <c r="F193" i="2"/>
  <c r="E193" i="2"/>
  <c r="E194" i="2" l="1"/>
  <c r="C195" i="2"/>
  <c r="G194" i="2"/>
  <c r="F194" i="2"/>
  <c r="D194" i="2"/>
  <c r="C196" i="2" l="1"/>
  <c r="G195" i="2"/>
  <c r="F195" i="2"/>
  <c r="E195" i="2"/>
  <c r="D195" i="2"/>
  <c r="C197" i="2" l="1"/>
  <c r="G196" i="2"/>
  <c r="F196" i="2"/>
  <c r="E196" i="2"/>
  <c r="D196" i="2"/>
  <c r="F197" i="2" l="1"/>
  <c r="G197" i="2"/>
  <c r="E197" i="2"/>
  <c r="C198" i="2"/>
  <c r="D197" i="2"/>
  <c r="D198" i="2" l="1"/>
  <c r="C199" i="2"/>
  <c r="F198" i="2"/>
  <c r="E198" i="2"/>
  <c r="G198" i="2"/>
  <c r="D199" i="2" l="1"/>
  <c r="F199" i="2"/>
  <c r="E199" i="2"/>
  <c r="C200" i="2"/>
  <c r="G199" i="2"/>
  <c r="G200" i="2" l="1"/>
  <c r="E200" i="2"/>
  <c r="D200" i="2"/>
  <c r="C201" i="2"/>
  <c r="F200" i="2"/>
  <c r="E201" i="2" l="1"/>
  <c r="D201" i="2"/>
  <c r="C202" i="2"/>
  <c r="G201" i="2"/>
  <c r="F201" i="2"/>
  <c r="E202" i="2" l="1"/>
  <c r="C203" i="2"/>
  <c r="G202" i="2"/>
  <c r="F202" i="2"/>
  <c r="D202" i="2"/>
  <c r="C204" i="2" l="1"/>
  <c r="D203" i="2"/>
  <c r="G203" i="2"/>
  <c r="F203" i="2"/>
  <c r="E203" i="2"/>
  <c r="C205" i="2" l="1"/>
  <c r="G204" i="2"/>
  <c r="F204" i="2"/>
  <c r="E204" i="2"/>
  <c r="D204" i="2"/>
  <c r="F205" i="2" l="1"/>
  <c r="E205" i="2"/>
  <c r="D205" i="2"/>
  <c r="G205" i="2"/>
  <c r="C206" i="2"/>
  <c r="G206" i="2" l="1"/>
  <c r="F206" i="2"/>
  <c r="C207" i="2"/>
  <c r="E206" i="2"/>
  <c r="D206" i="2"/>
  <c r="D207" i="2" l="1"/>
  <c r="G207" i="2"/>
  <c r="F207" i="2"/>
  <c r="E207" i="2"/>
  <c r="C208" i="2"/>
  <c r="G208" i="2" l="1"/>
  <c r="F208" i="2"/>
  <c r="E208" i="2"/>
  <c r="C209" i="2"/>
  <c r="D208" i="2"/>
  <c r="C210" i="2" l="1"/>
  <c r="G209" i="2"/>
  <c r="F209" i="2"/>
  <c r="E209" i="2"/>
  <c r="D209" i="2"/>
  <c r="E210" i="2" l="1"/>
  <c r="F210" i="2"/>
  <c r="D210" i="2"/>
  <c r="C211" i="2"/>
  <c r="G210" i="2"/>
  <c r="C212" i="2" l="1"/>
  <c r="G211" i="2"/>
  <c r="F211" i="2"/>
  <c r="E211" i="2"/>
  <c r="D211" i="2"/>
  <c r="E212" i="2" l="1"/>
  <c r="D212" i="2"/>
  <c r="G212" i="2"/>
  <c r="F212" i="2"/>
  <c r="C213" i="2"/>
  <c r="F213" i="2" l="1"/>
  <c r="C214" i="2"/>
  <c r="G213" i="2"/>
  <c r="E213" i="2"/>
  <c r="D213" i="2"/>
  <c r="D214" i="2" l="1"/>
  <c r="C215" i="2"/>
  <c r="G214" i="2"/>
  <c r="F214" i="2"/>
  <c r="E214" i="2"/>
  <c r="D215" i="2" l="1"/>
  <c r="C216" i="2"/>
  <c r="G215" i="2"/>
  <c r="F215" i="2"/>
  <c r="E215" i="2"/>
  <c r="G216" i="2" l="1"/>
  <c r="C217" i="2"/>
  <c r="F216" i="2"/>
  <c r="E216" i="2"/>
  <c r="D216" i="2"/>
  <c r="G217" i="2" l="1"/>
  <c r="F217" i="2"/>
  <c r="E217" i="2"/>
  <c r="D217" i="2"/>
  <c r="C218" i="2"/>
  <c r="E218" i="2" l="1"/>
  <c r="C219" i="2"/>
  <c r="G218" i="2"/>
  <c r="D218" i="2"/>
  <c r="F218" i="2"/>
  <c r="C220" i="2" l="1"/>
  <c r="F219" i="2"/>
  <c r="E219" i="2"/>
  <c r="G219" i="2"/>
  <c r="D219" i="2"/>
  <c r="D220" i="2" l="1"/>
  <c r="C221" i="2"/>
  <c r="G220" i="2"/>
  <c r="F220" i="2"/>
  <c r="E220" i="2"/>
  <c r="F221" i="2" l="1"/>
  <c r="E221" i="2"/>
  <c r="D221" i="2"/>
  <c r="C222" i="2"/>
  <c r="G221" i="2"/>
  <c r="C223" i="2" l="1"/>
  <c r="E222" i="2"/>
  <c r="D222" i="2"/>
  <c r="G222" i="2"/>
  <c r="F222" i="2"/>
  <c r="D223" i="2" l="1"/>
  <c r="E223" i="2"/>
  <c r="C224" i="2"/>
  <c r="G223" i="2"/>
  <c r="F223" i="2"/>
  <c r="G224" i="2" l="1"/>
  <c r="C225" i="2"/>
  <c r="F224" i="2"/>
  <c r="E224" i="2"/>
  <c r="D224" i="2"/>
  <c r="D225" i="2" l="1"/>
  <c r="C226" i="2"/>
  <c r="E225" i="2"/>
  <c r="G225" i="2"/>
  <c r="F225" i="2"/>
  <c r="E226" i="2" l="1"/>
  <c r="C227" i="2"/>
  <c r="G226" i="2"/>
  <c r="F226" i="2"/>
  <c r="D226" i="2"/>
  <c r="C228" i="2" l="1"/>
  <c r="E227" i="2"/>
  <c r="D227" i="2"/>
  <c r="G227" i="2"/>
  <c r="F227" i="2"/>
  <c r="G228" i="2" l="1"/>
  <c r="F228" i="2"/>
  <c r="C229" i="2"/>
  <c r="E228" i="2"/>
  <c r="D228" i="2"/>
  <c r="F229" i="2" l="1"/>
  <c r="G229" i="2"/>
  <c r="E229" i="2"/>
  <c r="D229" i="2"/>
  <c r="C230" i="2"/>
  <c r="F230" i="2" l="1"/>
  <c r="E230" i="2"/>
  <c r="C231" i="2"/>
  <c r="G230" i="2"/>
  <c r="D230" i="2"/>
  <c r="D231" i="2" l="1"/>
  <c r="C232" i="2"/>
  <c r="G231" i="2"/>
  <c r="F231" i="2"/>
  <c r="E231" i="2"/>
  <c r="D232" i="2" l="1"/>
  <c r="C233" i="2"/>
  <c r="F232" i="2"/>
  <c r="E232" i="2"/>
  <c r="G232" i="2"/>
  <c r="G233" i="2" l="1"/>
  <c r="C234" i="2"/>
  <c r="F233" i="2"/>
  <c r="E233" i="2"/>
  <c r="D233" i="2"/>
  <c r="G234" i="2" l="1"/>
  <c r="F234" i="2"/>
  <c r="E234" i="2"/>
  <c r="C235" i="2"/>
  <c r="D234" i="2"/>
  <c r="E235" i="2" l="1"/>
  <c r="D235" i="2"/>
  <c r="C236" i="2"/>
  <c r="G235" i="2"/>
  <c r="F235" i="2"/>
  <c r="C237" i="2" l="1"/>
  <c r="F236" i="2"/>
  <c r="G236" i="2"/>
  <c r="E236" i="2"/>
  <c r="D236" i="2"/>
  <c r="G237" i="2" l="1"/>
  <c r="F237" i="2"/>
  <c r="E237" i="2"/>
  <c r="D237" i="2"/>
  <c r="C238" i="2"/>
  <c r="F238" i="2" l="1"/>
  <c r="E238" i="2"/>
  <c r="C239" i="2"/>
  <c r="G238" i="2"/>
  <c r="D238" i="2"/>
  <c r="C240" i="2" l="1"/>
  <c r="G239" i="2"/>
  <c r="F239" i="2"/>
  <c r="E239" i="2"/>
  <c r="D239" i="2"/>
  <c r="D240" i="2" l="1"/>
  <c r="E240" i="2"/>
  <c r="C241" i="2"/>
  <c r="G240" i="2"/>
  <c r="F240" i="2"/>
  <c r="G241" i="2" l="1"/>
  <c r="C242" i="2"/>
  <c r="F241" i="2"/>
  <c r="E241" i="2"/>
  <c r="D241" i="2"/>
  <c r="D242" i="2" l="1"/>
  <c r="C243" i="2"/>
  <c r="G242" i="2"/>
  <c r="F242" i="2"/>
  <c r="E242" i="2"/>
  <c r="E243" i="2" l="1"/>
  <c r="C244" i="2"/>
  <c r="F243" i="2"/>
  <c r="D243" i="2"/>
  <c r="G243" i="2"/>
  <c r="C245" i="2" l="1"/>
  <c r="G244" i="2"/>
  <c r="F244" i="2"/>
  <c r="E244" i="2"/>
  <c r="D244" i="2"/>
  <c r="G245" i="2" l="1"/>
  <c r="D245" i="2"/>
  <c r="C246" i="2"/>
  <c r="F245" i="2"/>
  <c r="E245" i="2"/>
  <c r="F246" i="2" l="1"/>
  <c r="C247" i="2"/>
  <c r="D246" i="2"/>
  <c r="E246" i="2"/>
  <c r="G246" i="2"/>
  <c r="F247" i="2" l="1"/>
  <c r="D247" i="2"/>
  <c r="C248" i="2"/>
  <c r="G247" i="2"/>
  <c r="E247" i="2"/>
  <c r="D248" i="2" l="1"/>
  <c r="C249" i="2"/>
  <c r="G248" i="2"/>
  <c r="F248" i="2"/>
  <c r="E248" i="2"/>
  <c r="G249" i="2" l="1"/>
  <c r="E249" i="2"/>
  <c r="D249" i="2"/>
  <c r="C250" i="2"/>
  <c r="F249" i="2"/>
  <c r="C251" i="2" l="1"/>
  <c r="G250" i="2"/>
  <c r="F250" i="2"/>
  <c r="E250" i="2"/>
  <c r="D250" i="2"/>
  <c r="E251" i="2" l="1"/>
  <c r="D251" i="2"/>
  <c r="F251" i="2"/>
  <c r="C252" i="2"/>
  <c r="G251" i="2"/>
  <c r="C253" i="2" l="1"/>
  <c r="G252" i="2"/>
  <c r="F252" i="2"/>
  <c r="E252" i="2"/>
  <c r="D252" i="2"/>
  <c r="D253" i="2" l="1"/>
  <c r="F253" i="2"/>
  <c r="E253" i="2"/>
  <c r="C254" i="2"/>
  <c r="G253" i="2"/>
  <c r="F254" i="2" l="1"/>
  <c r="C255" i="2"/>
  <c r="E254" i="2"/>
  <c r="D254" i="2"/>
  <c r="G254" i="2"/>
  <c r="F255" i="2" l="1"/>
  <c r="E255" i="2"/>
  <c r="C256" i="2"/>
  <c r="G255" i="2"/>
  <c r="D255" i="2"/>
  <c r="D256" i="2" l="1"/>
  <c r="G256" i="2"/>
  <c r="C257" i="2"/>
  <c r="F256" i="2"/>
  <c r="E256" i="2"/>
  <c r="G257" i="2" l="1"/>
  <c r="F257" i="2"/>
  <c r="E257" i="2"/>
  <c r="D257" i="2"/>
  <c r="C258" i="2"/>
  <c r="F258" i="2" l="1"/>
  <c r="C259" i="2"/>
  <c r="G258" i="2"/>
  <c r="E258" i="2"/>
  <c r="D258" i="2"/>
  <c r="E259" i="2" l="1"/>
  <c r="G259" i="2"/>
  <c r="F259" i="2"/>
  <c r="C260" i="2"/>
  <c r="D259" i="2"/>
  <c r="C261" i="2" l="1"/>
  <c r="E260" i="2"/>
  <c r="D260" i="2"/>
  <c r="G260" i="2"/>
  <c r="F260" i="2"/>
  <c r="G261" i="2" l="1"/>
  <c r="F261" i="2"/>
  <c r="C262" i="2"/>
  <c r="E261" i="2"/>
  <c r="D261" i="2"/>
  <c r="F262" i="2" l="1"/>
  <c r="D262" i="2"/>
  <c r="C263" i="2"/>
  <c r="G262" i="2"/>
  <c r="E262" i="2"/>
  <c r="C264" i="2" l="1"/>
  <c r="G263" i="2"/>
  <c r="F263" i="2"/>
  <c r="E263" i="2"/>
  <c r="D263" i="2"/>
  <c r="D264" i="2" l="1"/>
  <c r="C265" i="2"/>
  <c r="G264" i="2"/>
  <c r="F264" i="2"/>
  <c r="E264" i="2"/>
  <c r="C266" i="2" l="1"/>
  <c r="G265" i="2"/>
  <c r="F265" i="2"/>
  <c r="E265" i="2"/>
  <c r="D265" i="2"/>
  <c r="E266" i="2" l="1"/>
  <c r="D266" i="2"/>
  <c r="F266" i="2"/>
  <c r="C267" i="2"/>
  <c r="G266" i="2"/>
  <c r="C268" i="2" l="1"/>
  <c r="F267" i="2"/>
  <c r="G267" i="2"/>
  <c r="E267" i="2"/>
  <c r="D267" i="2"/>
  <c r="D268" i="2" l="1"/>
  <c r="F268" i="2"/>
  <c r="C269" i="2"/>
  <c r="G268" i="2"/>
  <c r="E268" i="2"/>
  <c r="F269" i="2" l="1"/>
  <c r="D269" i="2"/>
  <c r="G269" i="2"/>
  <c r="E269" i="2"/>
  <c r="C270" i="2"/>
  <c r="G270" i="2" l="1"/>
  <c r="D270" i="2"/>
  <c r="C271" i="2"/>
  <c r="F270" i="2"/>
  <c r="E270" i="2"/>
  <c r="D271" i="2" l="1"/>
  <c r="G271" i="2"/>
  <c r="F271" i="2"/>
  <c r="C272" i="2"/>
  <c r="E271" i="2"/>
  <c r="G272" i="2" l="1"/>
  <c r="E272" i="2"/>
  <c r="D272" i="2"/>
  <c r="C273" i="2"/>
  <c r="F272" i="2"/>
  <c r="C274" i="2" l="1"/>
  <c r="E273" i="2"/>
  <c r="D273" i="2"/>
  <c r="G273" i="2"/>
  <c r="F273" i="2"/>
  <c r="E274" i="2" l="1"/>
  <c r="F274" i="2"/>
  <c r="G274" i="2"/>
  <c r="D274" i="2"/>
  <c r="C275" i="2"/>
  <c r="C276" i="2" l="1"/>
  <c r="F275" i="2"/>
  <c r="G275" i="2"/>
  <c r="E275" i="2"/>
  <c r="D275" i="2"/>
  <c r="F276" i="2" l="1"/>
  <c r="C277" i="2"/>
  <c r="G276" i="2"/>
  <c r="E276" i="2"/>
  <c r="D276" i="2"/>
  <c r="F277" i="2" l="1"/>
  <c r="D277" i="2"/>
  <c r="E277" i="2"/>
  <c r="C278" i="2"/>
  <c r="G277" i="2"/>
  <c r="G278" i="2" l="1"/>
  <c r="F278" i="2"/>
  <c r="D278" i="2"/>
  <c r="C279" i="2"/>
  <c r="E278" i="2"/>
  <c r="D279" i="2" l="1"/>
  <c r="C280" i="2"/>
  <c r="G279" i="2"/>
  <c r="F279" i="2"/>
  <c r="E279" i="2"/>
  <c r="G280" i="2" l="1"/>
  <c r="E280" i="2"/>
  <c r="C281" i="2"/>
  <c r="F280" i="2"/>
  <c r="D280" i="2"/>
  <c r="C282" i="2" l="1"/>
  <c r="D281" i="2"/>
  <c r="G281" i="2"/>
  <c r="F281" i="2"/>
  <c r="E281" i="2"/>
  <c r="E282" i="2" l="1"/>
  <c r="C283" i="2"/>
  <c r="G282" i="2"/>
  <c r="F282" i="2"/>
  <c r="D282" i="2"/>
  <c r="C284" i="2" l="1"/>
  <c r="F283" i="2"/>
  <c r="D283" i="2"/>
  <c r="G283" i="2"/>
  <c r="E283" i="2"/>
  <c r="C285" i="2" l="1"/>
  <c r="E284" i="2"/>
  <c r="D284" i="2"/>
  <c r="G284" i="2"/>
  <c r="F284" i="2"/>
  <c r="F285" i="2" l="1"/>
  <c r="D285" i="2"/>
  <c r="G285" i="2"/>
  <c r="C286" i="2"/>
  <c r="E285" i="2"/>
  <c r="G286" i="2" l="1"/>
  <c r="C287" i="2"/>
  <c r="F286" i="2"/>
  <c r="E286" i="2"/>
  <c r="D286" i="2"/>
  <c r="D287" i="2" l="1"/>
  <c r="E287" i="2"/>
  <c r="C288" i="2"/>
  <c r="G287" i="2"/>
  <c r="F287" i="2"/>
  <c r="G288" i="2" l="1"/>
  <c r="E288" i="2"/>
  <c r="F288" i="2"/>
  <c r="D288" i="2"/>
  <c r="C289" i="2"/>
  <c r="C290" i="2" l="1"/>
  <c r="E289" i="2"/>
  <c r="G289" i="2"/>
  <c r="D289" i="2"/>
  <c r="F289" i="2"/>
  <c r="E290" i="2" l="1"/>
  <c r="F290" i="2"/>
  <c r="C291" i="2"/>
  <c r="G290" i="2"/>
  <c r="D290" i="2"/>
  <c r="C292" i="2" l="1"/>
  <c r="F291" i="2"/>
  <c r="E291" i="2"/>
  <c r="D291" i="2"/>
  <c r="G291" i="2"/>
  <c r="G292" i="2" l="1"/>
  <c r="D292" i="2"/>
  <c r="C293" i="2"/>
  <c r="F292" i="2"/>
  <c r="E292" i="2"/>
  <c r="F293" i="2" l="1"/>
  <c r="D293" i="2"/>
  <c r="G293" i="2"/>
  <c r="C294" i="2"/>
  <c r="E293" i="2"/>
  <c r="G294" i="2" l="1"/>
  <c r="D294" i="2"/>
  <c r="C295" i="2"/>
  <c r="F294" i="2"/>
  <c r="E294" i="2"/>
  <c r="D295" i="2" l="1"/>
  <c r="G295" i="2"/>
  <c r="E295" i="2"/>
  <c r="F295" i="2"/>
  <c r="C296" i="2"/>
  <c r="G296" i="2" l="1"/>
  <c r="E296" i="2"/>
  <c r="C297" i="2"/>
  <c r="F296" i="2"/>
  <c r="D296" i="2"/>
  <c r="C298" i="2" l="1"/>
  <c r="G297" i="2"/>
  <c r="F297" i="2"/>
  <c r="E297" i="2"/>
  <c r="D297" i="2"/>
  <c r="E298" i="2" l="1"/>
  <c r="C299" i="2"/>
  <c r="G298" i="2"/>
  <c r="F298" i="2"/>
  <c r="D298" i="2"/>
  <c r="C300" i="2" l="1"/>
  <c r="F299" i="2"/>
  <c r="E299" i="2"/>
  <c r="D299" i="2"/>
  <c r="G299" i="2"/>
  <c r="D300" i="2" l="1"/>
  <c r="E300" i="2"/>
  <c r="C301" i="2"/>
  <c r="G300" i="2"/>
  <c r="F300" i="2"/>
  <c r="F301" i="2" l="1"/>
  <c r="D301" i="2"/>
  <c r="C302" i="2"/>
  <c r="G301" i="2"/>
  <c r="E301" i="2"/>
  <c r="G302" i="2" l="1"/>
  <c r="D302" i="2"/>
  <c r="F302" i="2"/>
  <c r="E302" i="2"/>
  <c r="C303" i="2"/>
  <c r="D303" i="2" l="1"/>
  <c r="E303" i="2"/>
  <c r="C304" i="2"/>
  <c r="G303" i="2"/>
  <c r="F303" i="2"/>
  <c r="G304" i="2" l="1"/>
  <c r="E304" i="2"/>
  <c r="D304" i="2"/>
  <c r="C305" i="2"/>
  <c r="F304" i="2"/>
  <c r="C306" i="2" l="1"/>
  <c r="D305" i="2"/>
  <c r="E305" i="2"/>
  <c r="G305" i="2"/>
  <c r="F305" i="2"/>
  <c r="E306" i="2" l="1"/>
  <c r="F306" i="2"/>
  <c r="G306" i="2"/>
  <c r="D306" i="2"/>
  <c r="C307" i="2"/>
  <c r="C308" i="2" l="1"/>
  <c r="F307" i="2"/>
  <c r="E307" i="2"/>
  <c r="G307" i="2"/>
  <c r="D307" i="2"/>
  <c r="F308" i="2" l="1"/>
  <c r="D308" i="2"/>
  <c r="C309" i="2"/>
  <c r="G308" i="2"/>
  <c r="E308" i="2"/>
  <c r="F309" i="2" l="1"/>
  <c r="D309" i="2"/>
  <c r="C310" i="2"/>
  <c r="G309" i="2"/>
  <c r="E309" i="2"/>
  <c r="G310" i="2" l="1"/>
  <c r="F310" i="2"/>
  <c r="C311" i="2"/>
  <c r="E310" i="2"/>
  <c r="D310" i="2"/>
  <c r="D311" i="2" l="1"/>
  <c r="C312" i="2"/>
  <c r="G311" i="2"/>
  <c r="F311" i="2"/>
  <c r="E311" i="2"/>
  <c r="G312" i="2" l="1"/>
  <c r="E312" i="2"/>
  <c r="C313" i="2"/>
  <c r="D312" i="2"/>
  <c r="F312" i="2"/>
  <c r="C314" i="2" l="1"/>
  <c r="F313" i="2"/>
  <c r="E313" i="2"/>
  <c r="G313" i="2"/>
  <c r="D313" i="2"/>
  <c r="E314" i="2" l="1"/>
  <c r="C315" i="2"/>
  <c r="G314" i="2"/>
  <c r="D314" i="2"/>
  <c r="F314" i="2"/>
  <c r="C316" i="2" l="1"/>
  <c r="F315" i="2"/>
  <c r="G315" i="2"/>
  <c r="E315" i="2"/>
  <c r="D315" i="2"/>
  <c r="C317" i="2" l="1"/>
  <c r="E316" i="2"/>
  <c r="D316" i="2"/>
  <c r="G316" i="2"/>
  <c r="F316" i="2"/>
  <c r="F317" i="2" l="1"/>
  <c r="D317" i="2"/>
  <c r="E317" i="2"/>
  <c r="C318" i="2"/>
  <c r="G317" i="2"/>
  <c r="G318" i="2" l="1"/>
  <c r="C319" i="2"/>
  <c r="F318" i="2"/>
  <c r="E318" i="2"/>
  <c r="D318" i="2"/>
  <c r="D319" i="2" l="1"/>
  <c r="E319" i="2"/>
  <c r="G319" i="2"/>
  <c r="C320" i="2"/>
  <c r="F319" i="2"/>
  <c r="G320" i="2" l="1"/>
  <c r="E320" i="2"/>
  <c r="C321" i="2"/>
  <c r="F320" i="2"/>
  <c r="D320" i="2"/>
  <c r="C322" i="2" l="1"/>
  <c r="E321" i="2"/>
  <c r="G321" i="2"/>
  <c r="F321" i="2"/>
  <c r="D321" i="2"/>
  <c r="E322" i="2" l="1"/>
  <c r="D322" i="2"/>
  <c r="C323" i="2"/>
  <c r="G322" i="2"/>
  <c r="F322" i="2"/>
  <c r="C324" i="2" l="1"/>
  <c r="F323" i="2"/>
  <c r="E323" i="2"/>
  <c r="G323" i="2"/>
  <c r="D323" i="2"/>
  <c r="F324" i="2" l="1"/>
  <c r="G324" i="2"/>
  <c r="E324" i="2"/>
  <c r="C325" i="2"/>
  <c r="D324" i="2"/>
  <c r="F325" i="2" l="1"/>
  <c r="D325" i="2"/>
  <c r="G325" i="2"/>
  <c r="E325" i="2"/>
  <c r="C326" i="2"/>
  <c r="G326" i="2" l="1"/>
  <c r="C327" i="2"/>
  <c r="F326" i="2"/>
  <c r="E326" i="2"/>
  <c r="D326" i="2"/>
  <c r="D327" i="2" l="1"/>
  <c r="G327" i="2"/>
  <c r="F327" i="2"/>
  <c r="E327" i="2"/>
  <c r="C328" i="2"/>
  <c r="G328" i="2" l="1"/>
  <c r="E328" i="2"/>
  <c r="C329" i="2"/>
  <c r="F328" i="2"/>
  <c r="D328" i="2"/>
  <c r="C330" i="2" l="1"/>
  <c r="G329" i="2"/>
  <c r="E329" i="2"/>
  <c r="D329" i="2"/>
  <c r="F329" i="2"/>
  <c r="E330" i="2" l="1"/>
  <c r="F330" i="2"/>
  <c r="D330" i="2"/>
  <c r="C331" i="2"/>
  <c r="G330" i="2"/>
  <c r="C332" i="2" l="1"/>
  <c r="F331" i="2"/>
  <c r="G331" i="2"/>
  <c r="E331" i="2"/>
  <c r="D331" i="2"/>
  <c r="D332" i="2" l="1"/>
  <c r="C333" i="2"/>
  <c r="G332" i="2"/>
  <c r="F332" i="2"/>
  <c r="E332" i="2"/>
  <c r="F333" i="2" l="1"/>
  <c r="D333" i="2"/>
  <c r="C334" i="2"/>
  <c r="G333" i="2"/>
  <c r="E333" i="2"/>
  <c r="G334" i="2" l="1"/>
  <c r="D334" i="2"/>
  <c r="E334" i="2"/>
  <c r="C335" i="2"/>
  <c r="F334" i="2"/>
  <c r="D335" i="2" l="1"/>
  <c r="G335" i="2"/>
  <c r="F335" i="2"/>
  <c r="C336" i="2"/>
  <c r="E335" i="2"/>
  <c r="G336" i="2" l="1"/>
  <c r="E336" i="2"/>
  <c r="D336" i="2"/>
  <c r="C337" i="2"/>
  <c r="F336" i="2"/>
  <c r="C338" i="2" l="1"/>
  <c r="G337" i="2"/>
  <c r="F337" i="2"/>
  <c r="E337" i="2"/>
  <c r="D337" i="2"/>
  <c r="E338" i="2" l="1"/>
  <c r="F338" i="2"/>
  <c r="G338" i="2"/>
  <c r="D338" i="2"/>
  <c r="C339" i="2"/>
  <c r="C340" i="2" l="1"/>
  <c r="F339" i="2"/>
  <c r="D339" i="2"/>
  <c r="G339" i="2"/>
  <c r="E339" i="2"/>
  <c r="F340" i="2" l="1"/>
  <c r="C341" i="2"/>
  <c r="D340" i="2"/>
  <c r="G340" i="2"/>
  <c r="E340" i="2"/>
  <c r="F341" i="2" l="1"/>
  <c r="D341" i="2"/>
  <c r="G341" i="2"/>
  <c r="E341" i="2"/>
  <c r="C342" i="2"/>
  <c r="G342" i="2" l="1"/>
  <c r="F342" i="2"/>
  <c r="C343" i="2"/>
  <c r="E342" i="2"/>
  <c r="D342" i="2"/>
  <c r="D343" i="2" l="1"/>
  <c r="C344" i="2"/>
  <c r="G343" i="2"/>
  <c r="F343" i="2"/>
  <c r="E343" i="2"/>
  <c r="G344" i="2" l="1"/>
  <c r="E344" i="2"/>
  <c r="C345" i="2"/>
  <c r="D344" i="2"/>
  <c r="F344" i="2"/>
  <c r="C346" i="2" l="1"/>
  <c r="G345" i="2"/>
  <c r="F345" i="2"/>
  <c r="E345" i="2"/>
  <c r="D345" i="2"/>
  <c r="E346" i="2" l="1"/>
  <c r="C347" i="2"/>
  <c r="F346" i="2"/>
  <c r="G346" i="2"/>
  <c r="D346" i="2"/>
  <c r="C348" i="2" l="1"/>
  <c r="F347" i="2"/>
  <c r="D347" i="2"/>
  <c r="G347" i="2"/>
  <c r="E347" i="2"/>
  <c r="C349" i="2" l="1"/>
  <c r="G348" i="2"/>
  <c r="E348" i="2"/>
  <c r="D348" i="2"/>
  <c r="F348" i="2"/>
  <c r="F349" i="2" l="1"/>
  <c r="D349" i="2"/>
  <c r="C350" i="2"/>
  <c r="G349" i="2"/>
  <c r="E349" i="2"/>
  <c r="G350" i="2" l="1"/>
  <c r="C351" i="2"/>
  <c r="F350" i="2"/>
  <c r="E350" i="2"/>
  <c r="D350" i="2"/>
  <c r="D351" i="2" l="1"/>
  <c r="E351" i="2"/>
  <c r="F351" i="2"/>
  <c r="C352" i="2"/>
  <c r="G351" i="2"/>
  <c r="G352" i="2" l="1"/>
  <c r="E352" i="2"/>
  <c r="F352" i="2"/>
  <c r="D352" i="2"/>
  <c r="C353" i="2"/>
  <c r="C354" i="2" l="1"/>
  <c r="E353" i="2"/>
  <c r="G353" i="2"/>
  <c r="F353" i="2"/>
  <c r="D353" i="2"/>
  <c r="E354" i="2" l="1"/>
  <c r="C355" i="2"/>
  <c r="G354" i="2"/>
  <c r="F354" i="2"/>
  <c r="D354" i="2"/>
  <c r="C356" i="2" l="1"/>
  <c r="F355" i="2"/>
  <c r="E355" i="2"/>
  <c r="D355" i="2"/>
  <c r="G355" i="2"/>
  <c r="E356" i="2" l="1"/>
  <c r="C357" i="2"/>
  <c r="G356" i="2"/>
  <c r="F356" i="2"/>
  <c r="D356" i="2"/>
  <c r="F357" i="2" l="1"/>
  <c r="D357" i="2"/>
  <c r="G357" i="2"/>
  <c r="C358" i="2"/>
  <c r="E357" i="2"/>
  <c r="G358" i="2" l="1"/>
  <c r="F358" i="2"/>
  <c r="D358" i="2"/>
  <c r="C359" i="2"/>
  <c r="E358" i="2"/>
  <c r="D359" i="2" l="1"/>
  <c r="G359" i="2"/>
  <c r="E359" i="2"/>
  <c r="C360" i="2"/>
  <c r="F359" i="2"/>
  <c r="G360" i="2" l="1"/>
  <c r="E360" i="2"/>
  <c r="C361" i="2"/>
  <c r="F360" i="2"/>
  <c r="D360" i="2"/>
  <c r="C362" i="2" l="1"/>
  <c r="G361" i="2"/>
  <c r="D361" i="2"/>
  <c r="F361" i="2"/>
  <c r="E361" i="2"/>
  <c r="E362" i="2" l="1"/>
  <c r="F362" i="2"/>
  <c r="D362" i="2"/>
  <c r="C363" i="2"/>
  <c r="G362" i="2"/>
  <c r="C364" i="2" l="1"/>
  <c r="F363" i="2"/>
  <c r="E363" i="2"/>
  <c r="G363" i="2"/>
  <c r="D363" i="2"/>
  <c r="D364" i="2" l="1"/>
  <c r="C365" i="2"/>
  <c r="G364" i="2"/>
  <c r="F364" i="2"/>
  <c r="E364" i="2"/>
  <c r="F365" i="2" l="1"/>
  <c r="D365" i="2"/>
  <c r="C366" i="2"/>
  <c r="G365" i="2"/>
  <c r="E365" i="2"/>
  <c r="G366" i="2" l="1"/>
  <c r="D366" i="2"/>
  <c r="F366" i="2"/>
  <c r="E366" i="2"/>
  <c r="C367" i="2"/>
  <c r="D367" i="2" l="1"/>
  <c r="C368" i="2"/>
  <c r="G367" i="2"/>
  <c r="F367" i="2"/>
  <c r="E367" i="2"/>
  <c r="G368" i="2" l="1"/>
  <c r="E368" i="2"/>
  <c r="D368" i="2"/>
  <c r="F368" i="2"/>
  <c r="C369" i="2"/>
  <c r="C370" i="2" l="1"/>
  <c r="E369" i="2"/>
  <c r="D369" i="2"/>
  <c r="G369" i="2"/>
  <c r="F369" i="2"/>
  <c r="E370" i="2" l="1"/>
  <c r="F370" i="2"/>
  <c r="C371" i="2"/>
  <c r="G370" i="2"/>
  <c r="D370" i="2"/>
  <c r="C372" i="2" l="1"/>
  <c r="F371" i="2"/>
  <c r="G371" i="2"/>
  <c r="E371" i="2"/>
  <c r="D371" i="2"/>
  <c r="F372" i="2" l="1"/>
  <c r="D372" i="2"/>
  <c r="C373" i="2"/>
  <c r="G372" i="2"/>
  <c r="E372" i="2"/>
  <c r="F373" i="2" l="1"/>
  <c r="D373" i="2"/>
  <c r="E373" i="2"/>
  <c r="G373" i="2"/>
  <c r="C374" i="2"/>
  <c r="G374" i="2" l="1"/>
  <c r="F374" i="2"/>
  <c r="C375" i="2"/>
  <c r="E374" i="2"/>
  <c r="D374" i="2"/>
  <c r="D375" i="2" l="1"/>
  <c r="G375" i="2"/>
  <c r="C376" i="2"/>
  <c r="F375" i="2"/>
  <c r="E375" i="2"/>
  <c r="G376" i="2" l="1"/>
  <c r="E376" i="2"/>
  <c r="C377" i="2"/>
  <c r="F376" i="2"/>
  <c r="D376" i="2"/>
  <c r="C378" i="2" l="1"/>
  <c r="F377" i="2"/>
  <c r="E377" i="2"/>
  <c r="D377" i="2"/>
  <c r="G377" i="2"/>
  <c r="E378" i="2" l="1"/>
  <c r="C379" i="2"/>
  <c r="D378" i="2"/>
  <c r="F378" i="2"/>
  <c r="G378" i="2"/>
  <c r="C380" i="2" l="1"/>
  <c r="F379" i="2"/>
  <c r="G379" i="2"/>
  <c r="E379" i="2"/>
  <c r="D379" i="2"/>
  <c r="C381" i="2" l="1"/>
  <c r="F380" i="2"/>
  <c r="E380" i="2"/>
  <c r="D380" i="2"/>
  <c r="G380" i="2"/>
  <c r="F381" i="2" l="1"/>
  <c r="D381" i="2"/>
  <c r="E381" i="2"/>
  <c r="C382" i="2"/>
  <c r="G381" i="2"/>
  <c r="G382" i="2" l="1"/>
  <c r="C383" i="2"/>
  <c r="F382" i="2"/>
  <c r="E382" i="2"/>
  <c r="D382" i="2"/>
  <c r="D383" i="2" l="1"/>
  <c r="E383" i="2"/>
  <c r="F383" i="2"/>
  <c r="C384" i="2"/>
  <c r="G383" i="2"/>
  <c r="G384" i="2" l="1"/>
  <c r="E384" i="2"/>
  <c r="F384" i="2"/>
  <c r="D384" i="2"/>
  <c r="C385" i="2"/>
  <c r="C386" i="2" l="1"/>
  <c r="E385" i="2"/>
  <c r="F385" i="2"/>
  <c r="G385" i="2"/>
  <c r="D385" i="2"/>
  <c r="E386" i="2" l="1"/>
  <c r="D386" i="2"/>
  <c r="C387" i="2"/>
  <c r="G386" i="2"/>
  <c r="F386" i="2"/>
  <c r="C388" i="2" l="1"/>
  <c r="F387" i="2"/>
  <c r="E387" i="2"/>
  <c r="G387" i="2"/>
  <c r="D387" i="2"/>
  <c r="D388" i="2" l="1"/>
  <c r="G388" i="2"/>
  <c r="F388" i="2"/>
  <c r="E388" i="2"/>
  <c r="C389" i="2"/>
  <c r="F389" i="2" l="1"/>
  <c r="D389" i="2"/>
  <c r="G389" i="2"/>
  <c r="C390" i="2"/>
  <c r="E389" i="2"/>
  <c r="G390" i="2" l="1"/>
  <c r="E390" i="2"/>
  <c r="C391" i="2"/>
  <c r="F390" i="2"/>
  <c r="D390" i="2"/>
  <c r="D391" i="2" l="1"/>
  <c r="G391" i="2"/>
  <c r="F391" i="2"/>
  <c r="E391" i="2"/>
  <c r="C392" i="2"/>
  <c r="G392" i="2" l="1"/>
  <c r="E392" i="2"/>
  <c r="C393" i="2"/>
  <c r="D392" i="2"/>
  <c r="F392" i="2"/>
  <c r="C394" i="2" l="1"/>
  <c r="G393" i="2"/>
  <c r="F393" i="2"/>
  <c r="E393" i="2"/>
  <c r="D393" i="2"/>
  <c r="E394" i="2" l="1"/>
  <c r="F394" i="2"/>
  <c r="D394" i="2"/>
  <c r="C395" i="2"/>
  <c r="G394" i="2"/>
  <c r="C396" i="2" l="1"/>
  <c r="F395" i="2"/>
  <c r="D395" i="2"/>
  <c r="G395" i="2"/>
  <c r="E395" i="2"/>
  <c r="D396" i="2" l="1"/>
  <c r="C397" i="2"/>
  <c r="G396" i="2"/>
  <c r="F396" i="2"/>
  <c r="E396" i="2"/>
  <c r="F397" i="2" l="1"/>
  <c r="D397" i="2"/>
  <c r="G397" i="2"/>
  <c r="C398" i="2"/>
  <c r="E397" i="2"/>
  <c r="G398" i="2" l="1"/>
  <c r="D398" i="2"/>
  <c r="C399" i="2"/>
  <c r="F398" i="2"/>
  <c r="E398" i="2"/>
  <c r="D399" i="2" l="1"/>
  <c r="C400" i="2"/>
  <c r="G399" i="2"/>
  <c r="F399" i="2"/>
  <c r="E399" i="2"/>
  <c r="G400" i="2" l="1"/>
  <c r="E400" i="2"/>
  <c r="G6" i="2" s="1"/>
  <c r="D400" i="2"/>
  <c r="G5" i="2" s="1"/>
  <c r="F400" i="2"/>
</calcChain>
</file>

<file path=xl/sharedStrings.xml><?xml version="1.0" encoding="utf-8"?>
<sst xmlns="http://schemas.openxmlformats.org/spreadsheetml/2006/main" count="26" uniqueCount="24">
  <si>
    <t>Ayuda</t>
  </si>
  <si>
    <t>Valor del préstamo</t>
  </si>
  <si>
    <t>Resumen:</t>
  </si>
  <si>
    <t>TNA (30/360)</t>
  </si>
  <si>
    <t>Valor préstamo</t>
  </si>
  <si>
    <t>Años</t>
  </si>
  <si>
    <t>Suma de Cuotas</t>
  </si>
  <si>
    <t>Frecuencia de Pago</t>
  </si>
  <si>
    <t>Suma de Interés</t>
  </si>
  <si>
    <t>Anual</t>
  </si>
  <si>
    <t>Interés equivalente</t>
  </si>
  <si>
    <t>Semestral</t>
  </si>
  <si>
    <t>N° de pagos por año</t>
  </si>
  <si>
    <t>Cuatrimestral</t>
  </si>
  <si>
    <t>N° Total de Cuotas</t>
  </si>
  <si>
    <t>Trimestral</t>
  </si>
  <si>
    <t>Mensual</t>
  </si>
  <si>
    <t>Número de Cuota</t>
  </si>
  <si>
    <t>CUOTA A PAGAR</t>
  </si>
  <si>
    <t>INTERÉS</t>
  </si>
  <si>
    <t>CAPITAL AMORTIZADO</t>
  </si>
  <si>
    <t>CAPITAL VIVO</t>
  </si>
  <si>
    <t>Bimestral</t>
  </si>
  <si>
    <t>Períodos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</si>
</sst>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0.000%"/>
    <numFmt numFmtId="167" formatCode="&quot;$&quot;\ #,##0.00"/>
  </numFmts>
  <fonts count="21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1C81F0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0"/>
      <color theme="1"/>
      <name val="Arial"/>
      <family val="2"/>
    </font>
    <font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1"/>
      <color rgb="FF1C81F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4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F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8">
    <xf numFmtId="0" fontId="0" fillId="0" borderId="0"/>
    <xf numFmtId="0" fontId="5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0" fontId="5" fillId="0" borderId="0" xfId="1"/>
    <xf numFmtId="0" fontId="6" fillId="2" borderId="0" xfId="2" applyFont="1" applyFill="1" applyAlignment="1">
      <alignment horizontal="center" vertical="center"/>
    </xf>
    <xf numFmtId="0" fontId="2" fillId="0" borderId="0" xfId="3"/>
    <xf numFmtId="0" fontId="7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2" fillId="3" borderId="0" xfId="2" applyFill="1"/>
    <xf numFmtId="165" fontId="8" fillId="0" borderId="0" xfId="4" applyFont="1"/>
    <xf numFmtId="0" fontId="2" fillId="4" borderId="0" xfId="2" applyFill="1"/>
    <xf numFmtId="0" fontId="6" fillId="2" borderId="0" xfId="2" applyFont="1" applyFill="1" applyAlignment="1">
      <alignment horizontal="center" vertical="center" wrapText="1"/>
    </xf>
    <xf numFmtId="4" fontId="2" fillId="0" borderId="1" xfId="2" applyNumberFormat="1" applyBorder="1" applyAlignment="1">
      <alignment horizontal="center"/>
    </xf>
    <xf numFmtId="9" fontId="10" fillId="0" borderId="1" xfId="5" applyFont="1" applyFill="1" applyBorder="1" applyAlignment="1">
      <alignment horizontal="center"/>
    </xf>
    <xf numFmtId="0" fontId="11" fillId="0" borderId="0" xfId="2" applyFont="1" applyAlignment="1">
      <alignment horizontal="center" vertical="center" wrapText="1"/>
    </xf>
    <xf numFmtId="164" fontId="12" fillId="0" borderId="1" xfId="6" applyFont="1" applyFill="1" applyBorder="1" applyAlignment="1">
      <alignment horizontal="center"/>
    </xf>
    <xf numFmtId="3" fontId="2" fillId="0" borderId="1" xfId="2" applyNumberForma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66" fontId="16" fillId="0" borderId="1" xfId="5" applyNumberFormat="1" applyFont="1" applyFill="1" applyBorder="1" applyAlignment="1">
      <alignment horizontal="center"/>
    </xf>
    <xf numFmtId="0" fontId="17" fillId="4" borderId="0" xfId="2" applyFont="1" applyFill="1" applyAlignment="1">
      <alignment horizontal="left"/>
    </xf>
    <xf numFmtId="0" fontId="16" fillId="0" borderId="1" xfId="4" applyNumberFormat="1" applyFont="1" applyFill="1" applyBorder="1" applyAlignment="1">
      <alignment horizontal="center"/>
    </xf>
    <xf numFmtId="165" fontId="0" fillId="4" borderId="0" xfId="4" applyFont="1" applyFill="1" applyBorder="1"/>
    <xf numFmtId="0" fontId="2" fillId="0" borderId="0" xfId="2"/>
    <xf numFmtId="0" fontId="18" fillId="5" borderId="0" xfId="2" applyFont="1" applyFill="1" applyAlignment="1">
      <alignment horizontal="center"/>
    </xf>
    <xf numFmtId="167" fontId="18" fillId="5" borderId="0" xfId="6" applyNumberFormat="1" applyFont="1" applyFill="1" applyBorder="1" applyAlignment="1">
      <alignment horizontal="center"/>
    </xf>
    <xf numFmtId="167" fontId="18" fillId="5" borderId="0" xfId="2" applyNumberFormat="1" applyFont="1" applyFill="1" applyAlignment="1">
      <alignment horizontal="center"/>
    </xf>
    <xf numFmtId="0" fontId="3" fillId="0" borderId="0" xfId="2" applyFont="1"/>
    <xf numFmtId="0" fontId="18" fillId="0" borderId="0" xfId="2" applyFont="1" applyAlignment="1">
      <alignment horizontal="center"/>
    </xf>
    <xf numFmtId="167" fontId="18" fillId="0" borderId="0" xfId="6" applyNumberFormat="1" applyFont="1" applyFill="1" applyBorder="1" applyAlignment="1">
      <alignment horizontal="center"/>
    </xf>
    <xf numFmtId="167" fontId="18" fillId="0" borderId="0" xfId="2" applyNumberFormat="1" applyFont="1" applyAlignment="1">
      <alignment horizontal="center"/>
    </xf>
    <xf numFmtId="4" fontId="1" fillId="0" borderId="0" xfId="2" applyNumberFormat="1" applyFont="1" applyProtection="1">
      <protection locked="0"/>
    </xf>
    <xf numFmtId="0" fontId="4" fillId="0" borderId="0" xfId="2" applyFont="1" applyAlignment="1">
      <alignment horizontal="center"/>
    </xf>
    <xf numFmtId="0" fontId="19" fillId="0" borderId="0" xfId="7" applyFill="1" applyBorder="1"/>
    <xf numFmtId="4" fontId="2" fillId="0" borderId="0" xfId="2" applyNumberFormat="1"/>
    <xf numFmtId="167" fontId="20" fillId="0" borderId="1" xfId="4" applyNumberFormat="1" applyFont="1" applyFill="1" applyBorder="1" applyAlignment="1">
      <alignment horizont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/>
    </xf>
    <xf numFmtId="0" fontId="13" fillId="4" borderId="0" xfId="2" applyFont="1" applyFill="1" applyAlignment="1">
      <alignment horizontal="center"/>
    </xf>
  </cellXfs>
  <cellStyles count="8">
    <cellStyle name="Hyperlink" xfId="7" builtinId="8"/>
    <cellStyle name="Millares 2" xfId="4" xr:uid="{00000000-0005-0000-0000-000001000000}"/>
    <cellStyle name="Moneda 2" xfId="6" xr:uid="{00000000-0005-0000-0000-000002000000}"/>
    <cellStyle name="Normal" xfId="0" builtinId="0"/>
    <cellStyle name="Normal 2" xfId="2" xr:uid="{00000000-0005-0000-0000-000004000000}"/>
    <cellStyle name="Normal 3" xfId="1" xr:uid="{00000000-0005-0000-0000-000005000000}"/>
    <cellStyle name="Normal 4" xfId="3" xr:uid="{00000000-0005-0000-0000-000006000000}"/>
    <cellStyle name="Porcentaje 2" xfId="5" xr:uid="{00000000-0005-0000-0000-000007000000}"/>
  </cellStyles>
  <dxfs count="4">
    <dxf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>
          <bgColor theme="0" tint="-4.9989318521683403E-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242093</xdr:colOff>
      <xdr:row>4</xdr:row>
      <xdr:rowOff>33337</xdr:rowOff>
    </xdr:from>
    <xdr:to>
      <xdr:col>7</xdr:col>
      <xdr:colOff>435768</xdr:colOff>
      <xdr:row>46</xdr:row>
      <xdr:rowOff>178594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2093" y="1690687"/>
          <a:ext cx="8070850" cy="85367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Esta plantilla le ayudará a entender cuánto está pagando de intereses, de monto total y cuotas  del préstamo solicitado.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Sigue el sistema francés.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Se debe completar la información de condiciones del préstamo: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	Celda D3: El valor del préstamos solicitado.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	Celda D4: La Tasa Nominal Anual que le cobrará la entidad.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	Celda D5: La cantidad de años del préstamo.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	Celda D6: Frecuencia de pago de cuotas.</a:t>
          </a:r>
        </a:p>
        <a:p>
          <a:endParaRPr lang="es-E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Resultado: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Se obtendrá el valor de cuota que pagará mes a mes así como el tota de intereses que deberá abonar por el préstamo bajo el sistema de amortización Francés.</a:t>
          </a:r>
        </a:p>
        <a:p>
          <a:b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Aclaración:</a:t>
          </a:r>
        </a:p>
        <a:p>
          <a:r>
            <a:rPr lang="es-AR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Esta es una herramienta de simulación.  </a:t>
          </a:r>
          <a:r>
            <a:rPr lang="es-AR" sz="1600" b="1" baseline="0">
              <a:solidFill>
                <a:srgbClr val="00B050"/>
              </a:solidFill>
              <a:latin typeface="+mn-lt"/>
              <a:ea typeface="+mn-ea"/>
              <a:cs typeface="+mn-cs"/>
            </a:rPr>
            <a:t>PlanillaExcel </a:t>
          </a:r>
          <a:r>
            <a:rPr lang="es-AR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no se responsabiliza por el uso que se le de a la información. Los resultados obtenidos de este simulador están diseñados con propósitos comparativos. Su precisión no está garantizada.  De ningún modo estos resultados son sugerencia y/o recomendación al público en general. </a:t>
          </a:r>
          <a:endParaRPr lang="es-ES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238125</xdr:colOff>
      <xdr:row>2</xdr:row>
      <xdr:rowOff>166687</xdr:rowOff>
    </xdr:from>
    <xdr:to>
      <xdr:col>9</xdr:col>
      <xdr:colOff>1159180</xdr:colOff>
      <xdr:row>24</xdr:row>
      <xdr:rowOff>51549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23DA203B-EDA7-9729-E541-0FB6D817A8F2}"/>
            </a:ext>
          </a:extLst>
        </xdr:cNvPr>
        <xdr:cNvGrpSpPr/>
      </xdr:nvGrpSpPr>
      <xdr:grpSpPr>
        <a:xfrm>
          <a:off x="11087100" y="985837"/>
          <a:ext cx="4407205" cy="4714037"/>
          <a:chOff x="8717264" y="1217930"/>
          <a:chExt cx="4350690" cy="4704195"/>
        </a:xfrm>
      </xdr:grpSpPr>
      <xdr:sp macro="" textlink="">
        <xdr:nvSpPr>
          <xdr:cNvPr id="9" name="TextBox 5">
            <a:extLst>
              <a:ext uri="{FF2B5EF4-FFF2-40B4-BE49-F238E27FC236}">
                <a16:creationId xmlns:a16="http://schemas.microsoft.com/office/drawing/2014/main" id="{1E27C0FE-81DD-4C51-95AD-0D17F18F1DDE}"/>
              </a:ext>
            </a:extLst>
          </xdr:cNvPr>
          <xdr:cNvSpPr txBox="1"/>
        </xdr:nvSpPr>
        <xdr:spPr>
          <a:xfrm>
            <a:off x="8717280" y="1217930"/>
            <a:ext cx="4350674" cy="4704195"/>
          </a:xfrm>
          <a:prstGeom prst="rect">
            <a:avLst/>
          </a:prstGeom>
          <a:solidFill>
            <a:srgbClr val="FBFBFB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274320" rIns="274320" bIns="274320" rtlCol="0" anchor="t"/>
          <a:lstStyle/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Más ayuda</a:t>
            </a:r>
          </a:p>
          <a:p>
            <a:endParaRPr lang="en-US" sz="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quieres saber más sobre cómo usar esta plantilla,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o adaptarla, extenderla o corregir algún error, sigue este link:</a:t>
            </a: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Otras plantillas</a:t>
            </a:r>
          </a:p>
          <a:p>
            <a:endParaRPr lang="en-US" sz="800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esta plantilla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no es lo que necesitas, es posible que tengamos otra que se ajuste mejor. Aquí puedes acceder a muchas otras más:</a:t>
            </a:r>
          </a:p>
        </xdr:txBody>
      </xdr:sp>
      <xdr:sp macro="" textlink="">
        <xdr:nvSpPr>
          <xdr:cNvPr id="10" name="TextBox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14A7D9E-7883-4FBC-B5A5-6EFEF7EC7B60}"/>
              </a:ext>
            </a:extLst>
          </xdr:cNvPr>
          <xdr:cNvSpPr txBox="1"/>
        </xdr:nvSpPr>
        <xdr:spPr>
          <a:xfrm>
            <a:off x="8717264" y="2670150"/>
            <a:ext cx="4345657" cy="424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12A779"/>
                </a:solidFill>
                <a:effectLst/>
                <a:latin typeface="+mn-lt"/>
                <a:ea typeface="+mn-ea"/>
                <a:cs typeface="+mn-cs"/>
              </a:rPr>
              <a:t>www.planillaexcel.com/ayuda/plantillas</a:t>
            </a:r>
            <a:endParaRPr lang="es-AR" sz="1600">
              <a:solidFill>
                <a:srgbClr val="12A779"/>
              </a:solidFill>
              <a:effectLst/>
            </a:endParaRPr>
          </a:p>
        </xdr:txBody>
      </xdr:sp>
      <xdr:sp macro="" textlink="">
        <xdr:nvSpPr>
          <xdr:cNvPr id="11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D647DDE-4CBB-445F-AB06-551B2470CFB8}"/>
              </a:ext>
            </a:extLst>
          </xdr:cNvPr>
          <xdr:cNvSpPr txBox="1"/>
        </xdr:nvSpPr>
        <xdr:spPr>
          <a:xfrm>
            <a:off x="8722318" y="4930302"/>
            <a:ext cx="4343117" cy="380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r>
              <a:rPr lang="en-US" sz="1600" b="1">
                <a:solidFill>
                  <a:srgbClr val="12A779"/>
                </a:solidFill>
              </a:rPr>
              <a:t>www.planillaexcel.com/plantillas</a:t>
            </a:r>
          </a:p>
        </xdr:txBody>
      </xdr:sp>
    </xdr:grpSp>
    <xdr:clientData/>
  </xdr:twoCellAnchor>
  <xdr:twoCellAnchor editAs="absolute">
    <xdr:from>
      <xdr:col>1</xdr:col>
      <xdr:colOff>121920</xdr:colOff>
      <xdr:row>1</xdr:row>
      <xdr:rowOff>67310</xdr:rowOff>
    </xdr:from>
    <xdr:to>
      <xdr:col>4</xdr:col>
      <xdr:colOff>0</xdr:colOff>
      <xdr:row>1</xdr:row>
      <xdr:rowOff>682308</xdr:rowOff>
    </xdr:to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CD30A75A-7378-4A94-AF95-31A4D1555476}"/>
            </a:ext>
          </a:extLst>
        </xdr:cNvPr>
        <xdr:cNvSpPr txBox="1"/>
      </xdr:nvSpPr>
      <xdr:spPr>
        <a:xfrm>
          <a:off x="512128" y="185103"/>
          <a:ext cx="5115560" cy="614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ysClr val="windowText" lastClr="000000"/>
              </a:solidFill>
            </a:rPr>
            <a:t>Amortización</a:t>
          </a:r>
          <a:r>
            <a:rPr lang="en-US" sz="2400" b="1" baseline="0">
              <a:solidFill>
                <a:sysClr val="windowText" lastClr="000000"/>
              </a:solidFill>
            </a:rPr>
            <a:t> de préstamos en Excel</a:t>
          </a:r>
          <a:endParaRPr lang="en-US" sz="24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99060</xdr:colOff>
      <xdr:row>1</xdr:row>
      <xdr:rowOff>201295</xdr:rowOff>
    </xdr:from>
    <xdr:to>
      <xdr:col>8</xdr:col>
      <xdr:colOff>1665959</xdr:colOff>
      <xdr:row>1</xdr:row>
      <xdr:rowOff>567055</xdr:rowOff>
    </xdr:to>
    <xdr:sp macro="" textlink="">
      <xdr:nvSpPr>
        <xdr:cNvPr id="13" name="TextBox 2">
          <a:extLst>
            <a:ext uri="{FF2B5EF4-FFF2-40B4-BE49-F238E27FC236}">
              <a16:creationId xmlns:a16="http://schemas.microsoft.com/office/drawing/2014/main" id="{8C16CF97-E2B5-482C-9C7F-5833B4008BDD}"/>
            </a:ext>
          </a:extLst>
        </xdr:cNvPr>
        <xdr:cNvSpPr txBox="1"/>
      </xdr:nvSpPr>
      <xdr:spPr>
        <a:xfrm>
          <a:off x="12709208" y="322898"/>
          <a:ext cx="1566899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ysClr val="windowText" lastClr="000000"/>
              </a:solidFill>
              <a:latin typeface="+mn-lt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41275</xdr:colOff>
      <xdr:row>0</xdr:row>
      <xdr:rowOff>34925</xdr:rowOff>
    </xdr:from>
    <xdr:to>
      <xdr:col>5</xdr:col>
      <xdr:colOff>650875</xdr:colOff>
      <xdr:row>0</xdr:row>
      <xdr:rowOff>269875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3900" y="28575"/>
          <a:ext cx="5572125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000" b="1">
              <a:solidFill>
                <a:srgbClr val="00B050"/>
              </a:solidFill>
              <a:latin typeface="Trebuchet MS" panose="020B0603020202020204" pitchFamily="34" charset="0"/>
            </a:rPr>
            <a:t>PlanillaExcel.com</a:t>
          </a:r>
          <a:r>
            <a:rPr lang="es-AR" sz="1000" b="1">
              <a:solidFill>
                <a:schemeClr val="tx1">
                  <a:lumMod val="65000"/>
                  <a:lumOff val="35000"/>
                </a:schemeClr>
              </a:solidFill>
            </a:rPr>
            <a:t>            </a:t>
          </a:r>
          <a:r>
            <a:rPr lang="es-AR" sz="1100" b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Amortización</a:t>
          </a:r>
          <a:r>
            <a:rPr lang="es-AR" sz="11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de préstamos    </a:t>
          </a:r>
          <a:r>
            <a:rPr lang="es-AR" sz="1000" b="0">
              <a:solidFill>
                <a:schemeClr val="bg1">
                  <a:lumMod val="85000"/>
                </a:schemeClr>
              </a:solidFill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</a:rPr>
            <a:t>              </a:t>
          </a:r>
          <a:r>
            <a:rPr lang="es-AR" sz="1000" b="0">
              <a:solidFill>
                <a:schemeClr val="bg1">
                  <a:lumMod val="50000"/>
                </a:schemeClr>
              </a:solidFill>
              <a:latin typeface="+mj-lt"/>
            </a:rPr>
            <a:t>AYUDA </a:t>
          </a:r>
          <a:r>
            <a:rPr lang="es-AR" sz="1000" b="0" i="0">
              <a:solidFill>
                <a:schemeClr val="bg1">
                  <a:lumMod val="50000"/>
                </a:schemeClr>
              </a:solidFill>
              <a:effectLst/>
              <a:latin typeface="+mj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1:K5"/>
  <sheetViews>
    <sheetView showGridLines="0" zoomScale="80" zoomScaleNormal="80" workbookViewId="0">
      <selection activeCell="K4" sqref="K4"/>
    </sheetView>
  </sheetViews>
  <sheetFormatPr defaultColWidth="11.58203125" defaultRowHeight="15.6" x14ac:dyDescent="0.3"/>
  <cols>
    <col min="1" max="1" width="4.25" style="1" customWidth="1"/>
    <col min="2" max="9" width="19.08203125" style="1" customWidth="1"/>
    <col min="10" max="10" width="13.08203125" style="1" customWidth="1"/>
    <col min="11" max="11" width="19.08203125" style="1" customWidth="1"/>
    <col min="12" max="16384" width="11.58203125" style="1"/>
  </cols>
  <sheetData>
    <row r="1" spans="2:11" ht="9.9" customHeight="1" x14ac:dyDescent="0.3"/>
    <row r="2" spans="2:11" s="3" customFormat="1" ht="54.9" customHeight="1" x14ac:dyDescent="0.3">
      <c r="B2" s="2"/>
      <c r="C2" s="2"/>
      <c r="D2" s="2"/>
      <c r="E2" s="2"/>
      <c r="F2" s="2"/>
      <c r="G2" s="2"/>
      <c r="H2" s="2"/>
      <c r="I2" s="2"/>
      <c r="J2" s="2"/>
      <c r="K2" s="34"/>
    </row>
    <row r="3" spans="2:11" ht="24" customHeight="1" x14ac:dyDescent="0.3"/>
    <row r="4" spans="2:11" ht="42" customHeight="1" x14ac:dyDescent="0.3">
      <c r="B4" s="4" t="s">
        <v>0</v>
      </c>
      <c r="C4" s="5"/>
      <c r="D4" s="5"/>
      <c r="E4" s="5"/>
      <c r="F4" s="5"/>
      <c r="G4" s="5"/>
      <c r="H4" s="5"/>
      <c r="I4" s="5"/>
      <c r="J4" s="5"/>
      <c r="K4" s="5"/>
    </row>
    <row r="5" spans="2:11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G512"/>
  <sheetViews>
    <sheetView showGridLines="0" tabSelected="1" topLeftCell="C2" zoomScale="149" workbookViewId="0">
      <selection activeCell="D10" sqref="D10"/>
    </sheetView>
  </sheetViews>
  <sheetFormatPr defaultColWidth="8.9140625" defaultRowHeight="14.4" x14ac:dyDescent="0.3"/>
  <cols>
    <col min="1" max="1" width="7.9140625" style="8" customWidth="1"/>
    <col min="2" max="2" width="3.9140625" style="8" customWidth="1"/>
    <col min="3" max="3" width="22.58203125" style="8" customWidth="1"/>
    <col min="4" max="4" width="16" style="8" customWidth="1"/>
    <col min="5" max="5" width="15.4140625" style="8" bestFit="1" customWidth="1"/>
    <col min="6" max="6" width="14" style="8" bestFit="1" customWidth="1"/>
    <col min="7" max="7" width="14" style="8" customWidth="1"/>
    <col min="8" max="8" width="9.75" style="8" bestFit="1" customWidth="1"/>
    <col min="9" max="9" width="9.25" style="8" bestFit="1" customWidth="1"/>
    <col min="10" max="13" width="8.9140625" style="8"/>
    <col min="14" max="14" width="25.08203125" style="8" customWidth="1"/>
    <col min="15" max="15" width="8.9140625" style="8" customWidth="1"/>
    <col min="16" max="16384" width="8.9140625" style="8"/>
  </cols>
  <sheetData>
    <row r="1" spans="1:7" s="6" customFormat="1" ht="27.6" customHeight="1" x14ac:dyDescent="0.3"/>
    <row r="2" spans="1:7" x14ac:dyDescent="0.3">
      <c r="A2" s="7"/>
    </row>
    <row r="3" spans="1:7" x14ac:dyDescent="0.3">
      <c r="A3" s="7"/>
      <c r="C3" s="9" t="s">
        <v>1</v>
      </c>
      <c r="D3" s="10">
        <v>100000</v>
      </c>
      <c r="F3" s="35" t="s">
        <v>2</v>
      </c>
      <c r="G3" s="35"/>
    </row>
    <row r="4" spans="1:7" x14ac:dyDescent="0.3">
      <c r="A4" s="7"/>
      <c r="C4" s="2" t="s">
        <v>3</v>
      </c>
      <c r="D4" s="11">
        <v>0.1</v>
      </c>
      <c r="F4" s="12" t="s">
        <v>4</v>
      </c>
      <c r="G4" s="13">
        <f>D3</f>
        <v>100000</v>
      </c>
    </row>
    <row r="5" spans="1:7" x14ac:dyDescent="0.3">
      <c r="C5" s="2" t="s">
        <v>5</v>
      </c>
      <c r="D5" s="14">
        <v>2</v>
      </c>
      <c r="F5" s="12" t="s">
        <v>6</v>
      </c>
      <c r="G5" s="13">
        <f>SUM($D$14:$D$400)</f>
        <v>110747.82321003963</v>
      </c>
    </row>
    <row r="6" spans="1:7" x14ac:dyDescent="0.3">
      <c r="C6" s="2" t="s">
        <v>7</v>
      </c>
      <c r="D6" s="10" t="s">
        <v>16</v>
      </c>
      <c r="F6" s="12" t="s">
        <v>8</v>
      </c>
      <c r="G6" s="13">
        <f>SUM($E$14:$E$400)</f>
        <v>10747.823210039604</v>
      </c>
    </row>
    <row r="7" spans="1:7" x14ac:dyDescent="0.3">
      <c r="C7" s="2" t="s">
        <v>10</v>
      </c>
      <c r="D7" s="17">
        <f>D4/D8</f>
        <v>8.3333333333333332E-3</v>
      </c>
      <c r="E7" s="18"/>
      <c r="F7" s="12"/>
      <c r="G7" s="12"/>
    </row>
    <row r="8" spans="1:7" x14ac:dyDescent="0.3">
      <c r="C8" s="2" t="s">
        <v>12</v>
      </c>
      <c r="D8" s="19">
        <f>VLOOKUP(D6,Periodicidad,2,0)</f>
        <v>12</v>
      </c>
      <c r="E8" s="18"/>
      <c r="F8" s="12"/>
      <c r="G8" s="12"/>
    </row>
    <row r="9" spans="1:7" x14ac:dyDescent="0.3">
      <c r="C9" s="2" t="s">
        <v>14</v>
      </c>
      <c r="D9" s="19">
        <f>D5*D8</f>
        <v>24</v>
      </c>
      <c r="E9" s="18"/>
    </row>
    <row r="10" spans="1:7" x14ac:dyDescent="0.3">
      <c r="C10" s="2" t="s">
        <v>18</v>
      </c>
      <c r="D10" s="33">
        <f>-PMT(D7,D9,D3)</f>
        <v>4614.4926337516508</v>
      </c>
      <c r="E10" s="8">
        <f>D3*D7</f>
        <v>833.33333333333337</v>
      </c>
      <c r="F10" s="8">
        <f>E10/(1 - (1/ 1+D7 )^ D9 )*-1</f>
        <v>3781.1593004183364</v>
      </c>
      <c r="G10" s="8">
        <f>F10+E10</f>
        <v>4614.4926337516699</v>
      </c>
    </row>
    <row r="11" spans="1:7" ht="15.6" x14ac:dyDescent="0.3">
      <c r="D11" s="20"/>
      <c r="E11" s="20"/>
    </row>
    <row r="12" spans="1:7" ht="26.25" customHeight="1" x14ac:dyDescent="0.3">
      <c r="A12" s="21"/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</row>
    <row r="13" spans="1:7" s="21" customFormat="1" x14ac:dyDescent="0.3">
      <c r="C13" s="22">
        <v>0</v>
      </c>
      <c r="D13" s="23"/>
      <c r="E13" s="23"/>
      <c r="F13" s="24"/>
      <c r="G13" s="23">
        <f>D3</f>
        <v>100000</v>
      </c>
    </row>
    <row r="14" spans="1:7" x14ac:dyDescent="0.3">
      <c r="A14" s="25"/>
      <c r="C14" s="26">
        <f>IF(OR(C13=$D$9,C13=""),"",IF(ISNUMBER(C13),C13+1,1))</f>
        <v>1</v>
      </c>
      <c r="D14" s="27">
        <f t="shared" ref="D14:D77" si="0">IF(C14&gt;$D$9,"",PMT($D$7,$D$9,$D$3)*-1)</f>
        <v>4614.4926337516508</v>
      </c>
      <c r="E14" s="27">
        <f>IF(C14&gt;$D$9,"",$D$7*G13)</f>
        <v>833.33333333333337</v>
      </c>
      <c r="F14" s="28">
        <f>IF(C14&gt;$D$9,"",D14-E14)</f>
        <v>3781.1593004183173</v>
      </c>
      <c r="G14" s="27">
        <f>IF(C14&gt;$D$9,"",G13-F14)</f>
        <v>96218.840699581677</v>
      </c>
    </row>
    <row r="15" spans="1:7" x14ac:dyDescent="0.3">
      <c r="A15" s="29"/>
      <c r="C15" s="26">
        <f t="shared" ref="C15:C78" si="1">IF(OR(C14=$D$9,C14=""),"",IF(ISNUMBER(C14),C14+1,1))</f>
        <v>2</v>
      </c>
      <c r="D15" s="27">
        <f t="shared" si="0"/>
        <v>4614.4926337516508</v>
      </c>
      <c r="E15" s="27">
        <f t="shared" ref="E15:E78" si="2">IF(C15&gt;$D$9,"",$D$7*G14)</f>
        <v>801.82367249651395</v>
      </c>
      <c r="F15" s="28">
        <f t="shared" ref="F15:F78" si="3">IF(C15&gt;$D$9,"",D15-E15)</f>
        <v>3812.6689612551368</v>
      </c>
      <c r="G15" s="27">
        <f t="shared" ref="G15:G78" si="4">IF(C15&gt;$D$9,"",G14-F15)</f>
        <v>92406.171738326535</v>
      </c>
    </row>
    <row r="16" spans="1:7" x14ac:dyDescent="0.3">
      <c r="A16" s="21"/>
      <c r="C16" s="26">
        <f t="shared" si="1"/>
        <v>3</v>
      </c>
      <c r="D16" s="27">
        <f t="shared" si="0"/>
        <v>4614.4926337516508</v>
      </c>
      <c r="E16" s="27">
        <f t="shared" si="2"/>
        <v>770.05143115272108</v>
      </c>
      <c r="F16" s="28">
        <f t="shared" si="3"/>
        <v>3844.4412025989295</v>
      </c>
      <c r="G16" s="27">
        <f t="shared" si="4"/>
        <v>88561.730535727605</v>
      </c>
    </row>
    <row r="17" spans="1:7" x14ac:dyDescent="0.3">
      <c r="A17" s="25"/>
      <c r="C17" s="26">
        <f t="shared" si="1"/>
        <v>4</v>
      </c>
      <c r="D17" s="27">
        <f t="shared" si="0"/>
        <v>4614.4926337516508</v>
      </c>
      <c r="E17" s="27">
        <f t="shared" si="2"/>
        <v>738.01442113106339</v>
      </c>
      <c r="F17" s="28">
        <f t="shared" si="3"/>
        <v>3876.4782126205873</v>
      </c>
      <c r="G17" s="27">
        <f t="shared" si="4"/>
        <v>84685.252323107023</v>
      </c>
    </row>
    <row r="18" spans="1:7" x14ac:dyDescent="0.3">
      <c r="A18" s="21"/>
      <c r="C18" s="26">
        <f t="shared" si="1"/>
        <v>5</v>
      </c>
      <c r="D18" s="27">
        <f t="shared" si="0"/>
        <v>4614.4926337516508</v>
      </c>
      <c r="E18" s="27">
        <f t="shared" si="2"/>
        <v>705.71043602589179</v>
      </c>
      <c r="F18" s="28">
        <f t="shared" si="3"/>
        <v>3908.782197725759</v>
      </c>
      <c r="G18" s="27">
        <f t="shared" si="4"/>
        <v>80776.470125381267</v>
      </c>
    </row>
    <row r="19" spans="1:7" x14ac:dyDescent="0.3">
      <c r="A19" s="21"/>
      <c r="C19" s="26">
        <f t="shared" si="1"/>
        <v>6</v>
      </c>
      <c r="D19" s="27">
        <f t="shared" si="0"/>
        <v>4614.4926337516508</v>
      </c>
      <c r="E19" s="27">
        <f t="shared" si="2"/>
        <v>673.13725104484388</v>
      </c>
      <c r="F19" s="28">
        <f t="shared" si="3"/>
        <v>3941.3553827068072</v>
      </c>
      <c r="G19" s="27">
        <f t="shared" si="4"/>
        <v>76835.114742674457</v>
      </c>
    </row>
    <row r="20" spans="1:7" x14ac:dyDescent="0.3">
      <c r="A20" s="25"/>
      <c r="C20" s="26">
        <f t="shared" si="1"/>
        <v>7</v>
      </c>
      <c r="D20" s="27">
        <f t="shared" si="0"/>
        <v>4614.4926337516508</v>
      </c>
      <c r="E20" s="27">
        <f t="shared" si="2"/>
        <v>640.29262285562049</v>
      </c>
      <c r="F20" s="28">
        <f t="shared" si="3"/>
        <v>3974.2000108960301</v>
      </c>
      <c r="G20" s="27">
        <f t="shared" si="4"/>
        <v>72860.914731778423</v>
      </c>
    </row>
    <row r="21" spans="1:7" x14ac:dyDescent="0.3">
      <c r="A21" s="21"/>
      <c r="C21" s="26">
        <f t="shared" si="1"/>
        <v>8</v>
      </c>
      <c r="D21" s="27">
        <f t="shared" si="0"/>
        <v>4614.4926337516508</v>
      </c>
      <c r="E21" s="27">
        <f t="shared" si="2"/>
        <v>607.17428943148684</v>
      </c>
      <c r="F21" s="28">
        <f t="shared" si="3"/>
        <v>4007.3183443201642</v>
      </c>
      <c r="G21" s="27">
        <f t="shared" si="4"/>
        <v>68853.596387458252</v>
      </c>
    </row>
    <row r="22" spans="1:7" x14ac:dyDescent="0.3">
      <c r="A22" s="21"/>
      <c r="C22" s="26">
        <f t="shared" si="1"/>
        <v>9</v>
      </c>
      <c r="D22" s="27">
        <f t="shared" si="0"/>
        <v>4614.4926337516508</v>
      </c>
      <c r="E22" s="27">
        <f t="shared" si="2"/>
        <v>573.77996989548546</v>
      </c>
      <c r="F22" s="28">
        <f t="shared" si="3"/>
        <v>4040.7126638561654</v>
      </c>
      <c r="G22" s="27">
        <f t="shared" si="4"/>
        <v>64812.883723602085</v>
      </c>
    </row>
    <row r="23" spans="1:7" x14ac:dyDescent="0.3">
      <c r="A23" s="25"/>
      <c r="C23" s="26">
        <f t="shared" si="1"/>
        <v>10</v>
      </c>
      <c r="D23" s="27">
        <f t="shared" si="0"/>
        <v>4614.4926337516508</v>
      </c>
      <c r="E23" s="27">
        <f t="shared" si="2"/>
        <v>540.10736436335071</v>
      </c>
      <c r="F23" s="28">
        <f t="shared" si="3"/>
        <v>4074.3852693883</v>
      </c>
      <c r="G23" s="27">
        <f t="shared" si="4"/>
        <v>60738.498454213783</v>
      </c>
    </row>
    <row r="24" spans="1:7" x14ac:dyDescent="0.3">
      <c r="A24" s="21"/>
      <c r="C24" s="26">
        <f t="shared" si="1"/>
        <v>11</v>
      </c>
      <c r="D24" s="27">
        <f t="shared" si="0"/>
        <v>4614.4926337516508</v>
      </c>
      <c r="E24" s="27">
        <f t="shared" si="2"/>
        <v>506.15415378511483</v>
      </c>
      <c r="F24" s="28">
        <f t="shared" si="3"/>
        <v>4108.3384799665364</v>
      </c>
      <c r="G24" s="27">
        <f t="shared" si="4"/>
        <v>56630.159974247246</v>
      </c>
    </row>
    <row r="25" spans="1:7" x14ac:dyDescent="0.3">
      <c r="A25" s="21"/>
      <c r="C25" s="26">
        <f t="shared" si="1"/>
        <v>12</v>
      </c>
      <c r="D25" s="27">
        <f t="shared" si="0"/>
        <v>4614.4926337516508</v>
      </c>
      <c r="E25" s="27">
        <f t="shared" si="2"/>
        <v>471.9179997853937</v>
      </c>
      <c r="F25" s="28">
        <f t="shared" si="3"/>
        <v>4142.5746339662574</v>
      </c>
      <c r="G25" s="27">
        <f t="shared" si="4"/>
        <v>52487.585340280988</v>
      </c>
    </row>
    <row r="26" spans="1:7" x14ac:dyDescent="0.3">
      <c r="A26" s="25"/>
      <c r="C26" s="26">
        <f t="shared" si="1"/>
        <v>13</v>
      </c>
      <c r="D26" s="27">
        <f t="shared" si="0"/>
        <v>4614.4926337516508</v>
      </c>
      <c r="E26" s="27">
        <f t="shared" si="2"/>
        <v>437.39654450234156</v>
      </c>
      <c r="F26" s="28">
        <f t="shared" si="3"/>
        <v>4177.0960892493094</v>
      </c>
      <c r="G26" s="27">
        <f t="shared" si="4"/>
        <v>48310.489251031679</v>
      </c>
    </row>
    <row r="27" spans="1:7" x14ac:dyDescent="0.3">
      <c r="A27" s="21"/>
      <c r="C27" s="26">
        <f t="shared" si="1"/>
        <v>14</v>
      </c>
      <c r="D27" s="27">
        <f t="shared" si="0"/>
        <v>4614.4926337516508</v>
      </c>
      <c r="E27" s="27">
        <f t="shared" si="2"/>
        <v>402.58741042526401</v>
      </c>
      <c r="F27" s="28">
        <f t="shared" si="3"/>
        <v>4211.9052233263865</v>
      </c>
      <c r="G27" s="27">
        <f t="shared" si="4"/>
        <v>44098.584027705292</v>
      </c>
    </row>
    <row r="28" spans="1:7" x14ac:dyDescent="0.3">
      <c r="A28" s="21"/>
      <c r="C28" s="26">
        <f t="shared" si="1"/>
        <v>15</v>
      </c>
      <c r="D28" s="27">
        <f t="shared" si="0"/>
        <v>4614.4926337516508</v>
      </c>
      <c r="E28" s="27">
        <f t="shared" si="2"/>
        <v>367.48820023087745</v>
      </c>
      <c r="F28" s="28">
        <f t="shared" si="3"/>
        <v>4247.0044335207731</v>
      </c>
      <c r="G28" s="27">
        <f t="shared" si="4"/>
        <v>39851.579594184521</v>
      </c>
    </row>
    <row r="29" spans="1:7" x14ac:dyDescent="0.3">
      <c r="A29" s="25"/>
      <c r="C29" s="26">
        <f t="shared" si="1"/>
        <v>16</v>
      </c>
      <c r="D29" s="27">
        <f t="shared" si="0"/>
        <v>4614.4926337516508</v>
      </c>
      <c r="E29" s="27">
        <f t="shared" si="2"/>
        <v>332.09649661820436</v>
      </c>
      <c r="F29" s="28">
        <f t="shared" si="3"/>
        <v>4282.3961371334462</v>
      </c>
      <c r="G29" s="27">
        <f t="shared" si="4"/>
        <v>35569.183457051076</v>
      </c>
    </row>
    <row r="30" spans="1:7" x14ac:dyDescent="0.3">
      <c r="A30" s="25"/>
      <c r="C30" s="26">
        <f t="shared" si="1"/>
        <v>17</v>
      </c>
      <c r="D30" s="27">
        <f t="shared" si="0"/>
        <v>4614.4926337516508</v>
      </c>
      <c r="E30" s="27">
        <f t="shared" si="2"/>
        <v>296.40986214209232</v>
      </c>
      <c r="F30" s="28">
        <f t="shared" si="3"/>
        <v>4318.0827716095582</v>
      </c>
      <c r="G30" s="27">
        <f t="shared" si="4"/>
        <v>31251.100685441517</v>
      </c>
    </row>
    <row r="31" spans="1:7" x14ac:dyDescent="0.3">
      <c r="A31" s="21"/>
      <c r="C31" s="26">
        <f t="shared" si="1"/>
        <v>18</v>
      </c>
      <c r="D31" s="27">
        <f t="shared" si="0"/>
        <v>4614.4926337516508</v>
      </c>
      <c r="E31" s="27">
        <f t="shared" si="2"/>
        <v>260.42583904534598</v>
      </c>
      <c r="F31" s="28">
        <f t="shared" si="3"/>
        <v>4354.0667947063048</v>
      </c>
      <c r="G31" s="27">
        <f t="shared" si="4"/>
        <v>26897.033890735212</v>
      </c>
    </row>
    <row r="32" spans="1:7" x14ac:dyDescent="0.3">
      <c r="A32" s="21"/>
      <c r="C32" s="26">
        <f t="shared" si="1"/>
        <v>19</v>
      </c>
      <c r="D32" s="27">
        <f t="shared" si="0"/>
        <v>4614.4926337516508</v>
      </c>
      <c r="E32" s="27">
        <f t="shared" si="2"/>
        <v>224.1419490894601</v>
      </c>
      <c r="F32" s="28">
        <f t="shared" si="3"/>
        <v>4390.3506846621904</v>
      </c>
      <c r="G32" s="27">
        <f t="shared" si="4"/>
        <v>22506.683206073023</v>
      </c>
    </row>
    <row r="33" spans="1:7" ht="15" customHeight="1" x14ac:dyDescent="0.3">
      <c r="A33" s="25"/>
      <c r="C33" s="26">
        <f t="shared" si="1"/>
        <v>20</v>
      </c>
      <c r="D33" s="27">
        <f t="shared" si="0"/>
        <v>4614.4926337516508</v>
      </c>
      <c r="E33" s="27">
        <f t="shared" si="2"/>
        <v>187.55569338394184</v>
      </c>
      <c r="F33" s="28">
        <f t="shared" si="3"/>
        <v>4426.9369403677092</v>
      </c>
      <c r="G33" s="27">
        <f t="shared" si="4"/>
        <v>18079.746265705315</v>
      </c>
    </row>
    <row r="34" spans="1:7" ht="15" customHeight="1" x14ac:dyDescent="0.3">
      <c r="A34" s="21"/>
      <c r="C34" s="26">
        <f t="shared" si="1"/>
        <v>21</v>
      </c>
      <c r="D34" s="27">
        <f t="shared" si="0"/>
        <v>4614.4926337516508</v>
      </c>
      <c r="E34" s="27">
        <f t="shared" si="2"/>
        <v>150.66455221421094</v>
      </c>
      <c r="F34" s="28">
        <f t="shared" si="3"/>
        <v>4463.8280815374401</v>
      </c>
      <c r="G34" s="27">
        <f t="shared" si="4"/>
        <v>13615.918184167875</v>
      </c>
    </row>
    <row r="35" spans="1:7" ht="15" customHeight="1" x14ac:dyDescent="0.3">
      <c r="A35" s="30"/>
      <c r="C35" s="26">
        <f t="shared" si="1"/>
        <v>22</v>
      </c>
      <c r="D35" s="27">
        <f t="shared" si="0"/>
        <v>4614.4926337516508</v>
      </c>
      <c r="E35" s="27">
        <f t="shared" si="2"/>
        <v>113.46598486806562</v>
      </c>
      <c r="F35" s="28">
        <f t="shared" si="3"/>
        <v>4501.026648883585</v>
      </c>
      <c r="G35" s="27">
        <f t="shared" si="4"/>
        <v>9114.8915352842887</v>
      </c>
    </row>
    <row r="36" spans="1:7" ht="15" customHeight="1" x14ac:dyDescent="0.3">
      <c r="A36" s="21"/>
      <c r="C36" s="26">
        <f t="shared" si="1"/>
        <v>23</v>
      </c>
      <c r="D36" s="27">
        <f t="shared" si="0"/>
        <v>4614.4926337516508</v>
      </c>
      <c r="E36" s="27">
        <f t="shared" si="2"/>
        <v>75.9574294607024</v>
      </c>
      <c r="F36" s="28">
        <f t="shared" si="3"/>
        <v>4538.5352042909481</v>
      </c>
      <c r="G36" s="27">
        <f t="shared" si="4"/>
        <v>4576.3563309933406</v>
      </c>
    </row>
    <row r="37" spans="1:7" ht="15" customHeight="1" x14ac:dyDescent="0.3">
      <c r="A37" s="21"/>
      <c r="C37" s="26">
        <f t="shared" si="1"/>
        <v>24</v>
      </c>
      <c r="D37" s="27">
        <f t="shared" si="0"/>
        <v>4614.4926337516508</v>
      </c>
      <c r="E37" s="27">
        <f t="shared" si="2"/>
        <v>38.136302758277836</v>
      </c>
      <c r="F37" s="28">
        <f t="shared" si="3"/>
        <v>4576.3563309933734</v>
      </c>
      <c r="G37" s="27">
        <f t="shared" si="4"/>
        <v>-3.2741809263825417E-11</v>
      </c>
    </row>
    <row r="38" spans="1:7" x14ac:dyDescent="0.3">
      <c r="A38" s="31"/>
      <c r="C38" s="26" t="str">
        <f t="shared" si="1"/>
        <v/>
      </c>
      <c r="D38" s="27" t="str">
        <f t="shared" si="0"/>
        <v/>
      </c>
      <c r="E38" s="27" t="str">
        <f t="shared" si="2"/>
        <v/>
      </c>
      <c r="F38" s="28" t="str">
        <f t="shared" si="3"/>
        <v/>
      </c>
      <c r="G38" s="27" t="str">
        <f t="shared" si="4"/>
        <v/>
      </c>
    </row>
    <row r="39" spans="1:7" x14ac:dyDescent="0.3">
      <c r="A39" s="21"/>
      <c r="C39" s="26" t="str">
        <f t="shared" si="1"/>
        <v/>
      </c>
      <c r="D39" s="27" t="str">
        <f t="shared" si="0"/>
        <v/>
      </c>
      <c r="E39" s="27" t="str">
        <f t="shared" si="2"/>
        <v/>
      </c>
      <c r="F39" s="28" t="str">
        <f t="shared" si="3"/>
        <v/>
      </c>
      <c r="G39" s="27" t="str">
        <f t="shared" si="4"/>
        <v/>
      </c>
    </row>
    <row r="40" spans="1:7" x14ac:dyDescent="0.3">
      <c r="A40" s="21"/>
      <c r="C40" s="26" t="str">
        <f t="shared" si="1"/>
        <v/>
      </c>
      <c r="D40" s="27" t="str">
        <f t="shared" si="0"/>
        <v/>
      </c>
      <c r="E40" s="27" t="str">
        <f t="shared" si="2"/>
        <v/>
      </c>
      <c r="F40" s="28" t="str">
        <f t="shared" si="3"/>
        <v/>
      </c>
      <c r="G40" s="27" t="str">
        <f t="shared" si="4"/>
        <v/>
      </c>
    </row>
    <row r="41" spans="1:7" x14ac:dyDescent="0.3">
      <c r="A41" s="21"/>
      <c r="C41" s="26" t="str">
        <f t="shared" si="1"/>
        <v/>
      </c>
      <c r="D41" s="27" t="str">
        <f t="shared" si="0"/>
        <v/>
      </c>
      <c r="E41" s="27" t="str">
        <f t="shared" si="2"/>
        <v/>
      </c>
      <c r="F41" s="28" t="str">
        <f t="shared" si="3"/>
        <v/>
      </c>
      <c r="G41" s="27" t="str">
        <f t="shared" si="4"/>
        <v/>
      </c>
    </row>
    <row r="42" spans="1:7" x14ac:dyDescent="0.3">
      <c r="A42" s="21"/>
      <c r="C42" s="26" t="str">
        <f t="shared" si="1"/>
        <v/>
      </c>
      <c r="D42" s="27" t="str">
        <f t="shared" si="0"/>
        <v/>
      </c>
      <c r="E42" s="27" t="str">
        <f t="shared" si="2"/>
        <v/>
      </c>
      <c r="F42" s="28" t="str">
        <f t="shared" si="3"/>
        <v/>
      </c>
      <c r="G42" s="27" t="str">
        <f t="shared" si="4"/>
        <v/>
      </c>
    </row>
    <row r="43" spans="1:7" x14ac:dyDescent="0.3">
      <c r="A43" s="21"/>
      <c r="C43" s="26" t="str">
        <f t="shared" si="1"/>
        <v/>
      </c>
      <c r="D43" s="27" t="str">
        <f t="shared" si="0"/>
        <v/>
      </c>
      <c r="E43" s="27" t="str">
        <f t="shared" si="2"/>
        <v/>
      </c>
      <c r="F43" s="28" t="str">
        <f t="shared" si="3"/>
        <v/>
      </c>
      <c r="G43" s="27" t="str">
        <f t="shared" si="4"/>
        <v/>
      </c>
    </row>
    <row r="44" spans="1:7" x14ac:dyDescent="0.3">
      <c r="A44" s="21"/>
      <c r="C44" s="26" t="str">
        <f t="shared" si="1"/>
        <v/>
      </c>
      <c r="D44" s="27" t="str">
        <f t="shared" si="0"/>
        <v/>
      </c>
      <c r="E44" s="27" t="str">
        <f t="shared" si="2"/>
        <v/>
      </c>
      <c r="F44" s="28" t="str">
        <f t="shared" si="3"/>
        <v/>
      </c>
      <c r="G44" s="27" t="str">
        <f t="shared" si="4"/>
        <v/>
      </c>
    </row>
    <row r="45" spans="1:7" x14ac:dyDescent="0.3">
      <c r="A45" s="21"/>
      <c r="C45" s="26" t="str">
        <f t="shared" si="1"/>
        <v/>
      </c>
      <c r="D45" s="27" t="str">
        <f t="shared" si="0"/>
        <v/>
      </c>
      <c r="E45" s="27" t="str">
        <f t="shared" si="2"/>
        <v/>
      </c>
      <c r="F45" s="28" t="str">
        <f t="shared" si="3"/>
        <v/>
      </c>
      <c r="G45" s="27" t="str">
        <f t="shared" si="4"/>
        <v/>
      </c>
    </row>
    <row r="46" spans="1:7" x14ac:dyDescent="0.3">
      <c r="A46" s="21"/>
      <c r="C46" s="26" t="str">
        <f t="shared" si="1"/>
        <v/>
      </c>
      <c r="D46" s="27" t="str">
        <f t="shared" si="0"/>
        <v/>
      </c>
      <c r="E46" s="27" t="str">
        <f t="shared" si="2"/>
        <v/>
      </c>
      <c r="F46" s="28" t="str">
        <f t="shared" si="3"/>
        <v/>
      </c>
      <c r="G46" s="27" t="str">
        <f t="shared" si="4"/>
        <v/>
      </c>
    </row>
    <row r="47" spans="1:7" x14ac:dyDescent="0.3">
      <c r="C47" s="26" t="str">
        <f t="shared" si="1"/>
        <v/>
      </c>
      <c r="D47" s="27" t="str">
        <f t="shared" si="0"/>
        <v/>
      </c>
      <c r="E47" s="27" t="str">
        <f t="shared" si="2"/>
        <v/>
      </c>
      <c r="F47" s="28" t="str">
        <f t="shared" si="3"/>
        <v/>
      </c>
      <c r="G47" s="27" t="str">
        <f t="shared" si="4"/>
        <v/>
      </c>
    </row>
    <row r="48" spans="1:7" x14ac:dyDescent="0.3">
      <c r="C48" s="26" t="str">
        <f t="shared" si="1"/>
        <v/>
      </c>
      <c r="D48" s="27" t="str">
        <f t="shared" si="0"/>
        <v/>
      </c>
      <c r="E48" s="27" t="str">
        <f t="shared" si="2"/>
        <v/>
      </c>
      <c r="F48" s="28" t="str">
        <f t="shared" si="3"/>
        <v/>
      </c>
      <c r="G48" s="27" t="str">
        <f t="shared" si="4"/>
        <v/>
      </c>
    </row>
    <row r="49" spans="3:7" x14ac:dyDescent="0.3">
      <c r="C49" s="26" t="str">
        <f t="shared" si="1"/>
        <v/>
      </c>
      <c r="D49" s="27" t="str">
        <f t="shared" si="0"/>
        <v/>
      </c>
      <c r="E49" s="27" t="str">
        <f t="shared" si="2"/>
        <v/>
      </c>
      <c r="F49" s="28" t="str">
        <f t="shared" si="3"/>
        <v/>
      </c>
      <c r="G49" s="27" t="str">
        <f t="shared" si="4"/>
        <v/>
      </c>
    </row>
    <row r="50" spans="3:7" x14ac:dyDescent="0.3">
      <c r="C50" s="26" t="str">
        <f t="shared" si="1"/>
        <v/>
      </c>
      <c r="D50" s="27" t="str">
        <f t="shared" si="0"/>
        <v/>
      </c>
      <c r="E50" s="27" t="str">
        <f t="shared" si="2"/>
        <v/>
      </c>
      <c r="F50" s="28" t="str">
        <f t="shared" si="3"/>
        <v/>
      </c>
      <c r="G50" s="27" t="str">
        <f t="shared" si="4"/>
        <v/>
      </c>
    </row>
    <row r="51" spans="3:7" x14ac:dyDescent="0.3">
      <c r="C51" s="26" t="str">
        <f t="shared" si="1"/>
        <v/>
      </c>
      <c r="D51" s="27" t="str">
        <f t="shared" si="0"/>
        <v/>
      </c>
      <c r="E51" s="27" t="str">
        <f t="shared" si="2"/>
        <v/>
      </c>
      <c r="F51" s="28" t="str">
        <f t="shared" si="3"/>
        <v/>
      </c>
      <c r="G51" s="27" t="str">
        <f t="shared" si="4"/>
        <v/>
      </c>
    </row>
    <row r="52" spans="3:7" x14ac:dyDescent="0.3">
      <c r="C52" s="26" t="str">
        <f t="shared" si="1"/>
        <v/>
      </c>
      <c r="D52" s="27" t="str">
        <f t="shared" si="0"/>
        <v/>
      </c>
      <c r="E52" s="27" t="str">
        <f t="shared" si="2"/>
        <v/>
      </c>
      <c r="F52" s="28" t="str">
        <f t="shared" si="3"/>
        <v/>
      </c>
      <c r="G52" s="27" t="str">
        <f t="shared" si="4"/>
        <v/>
      </c>
    </row>
    <row r="53" spans="3:7" x14ac:dyDescent="0.3">
      <c r="C53" s="26" t="str">
        <f t="shared" si="1"/>
        <v/>
      </c>
      <c r="D53" s="27" t="str">
        <f t="shared" si="0"/>
        <v/>
      </c>
      <c r="E53" s="27" t="str">
        <f t="shared" si="2"/>
        <v/>
      </c>
      <c r="F53" s="28" t="str">
        <f t="shared" si="3"/>
        <v/>
      </c>
      <c r="G53" s="27" t="str">
        <f t="shared" si="4"/>
        <v/>
      </c>
    </row>
    <row r="54" spans="3:7" x14ac:dyDescent="0.3">
      <c r="C54" s="26" t="str">
        <f t="shared" si="1"/>
        <v/>
      </c>
      <c r="D54" s="27" t="str">
        <f t="shared" si="0"/>
        <v/>
      </c>
      <c r="E54" s="27" t="str">
        <f t="shared" si="2"/>
        <v/>
      </c>
      <c r="F54" s="28" t="str">
        <f t="shared" si="3"/>
        <v/>
      </c>
      <c r="G54" s="27" t="str">
        <f t="shared" si="4"/>
        <v/>
      </c>
    </row>
    <row r="55" spans="3:7" x14ac:dyDescent="0.3">
      <c r="C55" s="26" t="str">
        <f t="shared" si="1"/>
        <v/>
      </c>
      <c r="D55" s="27" t="str">
        <f t="shared" si="0"/>
        <v/>
      </c>
      <c r="E55" s="27" t="str">
        <f t="shared" si="2"/>
        <v/>
      </c>
      <c r="F55" s="28" t="str">
        <f t="shared" si="3"/>
        <v/>
      </c>
      <c r="G55" s="27" t="str">
        <f t="shared" si="4"/>
        <v/>
      </c>
    </row>
    <row r="56" spans="3:7" x14ac:dyDescent="0.3">
      <c r="C56" s="26" t="str">
        <f t="shared" si="1"/>
        <v/>
      </c>
      <c r="D56" s="27" t="str">
        <f t="shared" si="0"/>
        <v/>
      </c>
      <c r="E56" s="27" t="str">
        <f t="shared" si="2"/>
        <v/>
      </c>
      <c r="F56" s="28" t="str">
        <f t="shared" si="3"/>
        <v/>
      </c>
      <c r="G56" s="27" t="str">
        <f t="shared" si="4"/>
        <v/>
      </c>
    </row>
    <row r="57" spans="3:7" x14ac:dyDescent="0.3">
      <c r="C57" s="26" t="str">
        <f t="shared" si="1"/>
        <v/>
      </c>
      <c r="D57" s="27" t="str">
        <f t="shared" si="0"/>
        <v/>
      </c>
      <c r="E57" s="27" t="str">
        <f t="shared" si="2"/>
        <v/>
      </c>
      <c r="F57" s="28" t="str">
        <f t="shared" si="3"/>
        <v/>
      </c>
      <c r="G57" s="27" t="str">
        <f t="shared" si="4"/>
        <v/>
      </c>
    </row>
    <row r="58" spans="3:7" x14ac:dyDescent="0.3">
      <c r="C58" s="26" t="str">
        <f t="shared" si="1"/>
        <v/>
      </c>
      <c r="D58" s="27" t="str">
        <f t="shared" si="0"/>
        <v/>
      </c>
      <c r="E58" s="27" t="str">
        <f t="shared" si="2"/>
        <v/>
      </c>
      <c r="F58" s="28" t="str">
        <f t="shared" si="3"/>
        <v/>
      </c>
      <c r="G58" s="27" t="str">
        <f t="shared" si="4"/>
        <v/>
      </c>
    </row>
    <row r="59" spans="3:7" x14ac:dyDescent="0.3">
      <c r="C59" s="26" t="str">
        <f t="shared" si="1"/>
        <v/>
      </c>
      <c r="D59" s="27" t="str">
        <f t="shared" si="0"/>
        <v/>
      </c>
      <c r="E59" s="27" t="str">
        <f t="shared" si="2"/>
        <v/>
      </c>
      <c r="F59" s="28" t="str">
        <f t="shared" si="3"/>
        <v/>
      </c>
      <c r="G59" s="27" t="str">
        <f t="shared" si="4"/>
        <v/>
      </c>
    </row>
    <row r="60" spans="3:7" x14ac:dyDescent="0.3">
      <c r="C60" s="26" t="str">
        <f t="shared" si="1"/>
        <v/>
      </c>
      <c r="D60" s="27" t="str">
        <f t="shared" si="0"/>
        <v/>
      </c>
      <c r="E60" s="27" t="str">
        <f t="shared" si="2"/>
        <v/>
      </c>
      <c r="F60" s="28" t="str">
        <f t="shared" si="3"/>
        <v/>
      </c>
      <c r="G60" s="27" t="str">
        <f t="shared" si="4"/>
        <v/>
      </c>
    </row>
    <row r="61" spans="3:7" x14ac:dyDescent="0.3">
      <c r="C61" s="26" t="str">
        <f t="shared" si="1"/>
        <v/>
      </c>
      <c r="D61" s="27" t="str">
        <f t="shared" si="0"/>
        <v/>
      </c>
      <c r="E61" s="27" t="str">
        <f t="shared" si="2"/>
        <v/>
      </c>
      <c r="F61" s="28" t="str">
        <f t="shared" si="3"/>
        <v/>
      </c>
      <c r="G61" s="27" t="str">
        <f t="shared" si="4"/>
        <v/>
      </c>
    </row>
    <row r="62" spans="3:7" x14ac:dyDescent="0.3">
      <c r="C62" s="26" t="str">
        <f t="shared" si="1"/>
        <v/>
      </c>
      <c r="D62" s="27" t="str">
        <f t="shared" si="0"/>
        <v/>
      </c>
      <c r="E62" s="27" t="str">
        <f t="shared" si="2"/>
        <v/>
      </c>
      <c r="F62" s="28" t="str">
        <f t="shared" si="3"/>
        <v/>
      </c>
      <c r="G62" s="27" t="str">
        <f t="shared" si="4"/>
        <v/>
      </c>
    </row>
    <row r="63" spans="3:7" x14ac:dyDescent="0.3">
      <c r="C63" s="26" t="str">
        <f t="shared" si="1"/>
        <v/>
      </c>
      <c r="D63" s="27" t="str">
        <f t="shared" si="0"/>
        <v/>
      </c>
      <c r="E63" s="27" t="str">
        <f t="shared" si="2"/>
        <v/>
      </c>
      <c r="F63" s="28" t="str">
        <f t="shared" si="3"/>
        <v/>
      </c>
      <c r="G63" s="27" t="str">
        <f t="shared" si="4"/>
        <v/>
      </c>
    </row>
    <row r="64" spans="3:7" x14ac:dyDescent="0.3">
      <c r="C64" s="26" t="str">
        <f t="shared" si="1"/>
        <v/>
      </c>
      <c r="D64" s="27" t="str">
        <f t="shared" si="0"/>
        <v/>
      </c>
      <c r="E64" s="27" t="str">
        <f t="shared" si="2"/>
        <v/>
      </c>
      <c r="F64" s="28" t="str">
        <f t="shared" si="3"/>
        <v/>
      </c>
      <c r="G64" s="27" t="str">
        <f t="shared" si="4"/>
        <v/>
      </c>
    </row>
    <row r="65" spans="3:7" x14ac:dyDescent="0.3">
      <c r="C65" s="26" t="str">
        <f t="shared" si="1"/>
        <v/>
      </c>
      <c r="D65" s="27" t="str">
        <f t="shared" si="0"/>
        <v/>
      </c>
      <c r="E65" s="27" t="str">
        <f t="shared" si="2"/>
        <v/>
      </c>
      <c r="F65" s="28" t="str">
        <f t="shared" si="3"/>
        <v/>
      </c>
      <c r="G65" s="27" t="str">
        <f t="shared" si="4"/>
        <v/>
      </c>
    </row>
    <row r="66" spans="3:7" x14ac:dyDescent="0.3">
      <c r="C66" s="26" t="str">
        <f t="shared" si="1"/>
        <v/>
      </c>
      <c r="D66" s="27" t="str">
        <f t="shared" si="0"/>
        <v/>
      </c>
      <c r="E66" s="27" t="str">
        <f t="shared" si="2"/>
        <v/>
      </c>
      <c r="F66" s="28" t="str">
        <f t="shared" si="3"/>
        <v/>
      </c>
      <c r="G66" s="27" t="str">
        <f t="shared" si="4"/>
        <v/>
      </c>
    </row>
    <row r="67" spans="3:7" x14ac:dyDescent="0.3">
      <c r="C67" s="26" t="str">
        <f t="shared" si="1"/>
        <v/>
      </c>
      <c r="D67" s="27" t="str">
        <f t="shared" si="0"/>
        <v/>
      </c>
      <c r="E67" s="27" t="str">
        <f t="shared" si="2"/>
        <v/>
      </c>
      <c r="F67" s="28" t="str">
        <f t="shared" si="3"/>
        <v/>
      </c>
      <c r="G67" s="27" t="str">
        <f t="shared" si="4"/>
        <v/>
      </c>
    </row>
    <row r="68" spans="3:7" x14ac:dyDescent="0.3">
      <c r="C68" s="26" t="str">
        <f t="shared" si="1"/>
        <v/>
      </c>
      <c r="D68" s="27" t="str">
        <f t="shared" si="0"/>
        <v/>
      </c>
      <c r="E68" s="27" t="str">
        <f t="shared" si="2"/>
        <v/>
      </c>
      <c r="F68" s="28" t="str">
        <f t="shared" si="3"/>
        <v/>
      </c>
      <c r="G68" s="27" t="str">
        <f t="shared" si="4"/>
        <v/>
      </c>
    </row>
    <row r="69" spans="3:7" x14ac:dyDescent="0.3">
      <c r="C69" s="26" t="str">
        <f t="shared" si="1"/>
        <v/>
      </c>
      <c r="D69" s="27" t="str">
        <f t="shared" si="0"/>
        <v/>
      </c>
      <c r="E69" s="27" t="str">
        <f t="shared" si="2"/>
        <v/>
      </c>
      <c r="F69" s="28" t="str">
        <f t="shared" si="3"/>
        <v/>
      </c>
      <c r="G69" s="27" t="str">
        <f t="shared" si="4"/>
        <v/>
      </c>
    </row>
    <row r="70" spans="3:7" x14ac:dyDescent="0.3">
      <c r="C70" s="26" t="str">
        <f t="shared" si="1"/>
        <v/>
      </c>
      <c r="D70" s="27" t="str">
        <f t="shared" si="0"/>
        <v/>
      </c>
      <c r="E70" s="27" t="str">
        <f t="shared" si="2"/>
        <v/>
      </c>
      <c r="F70" s="28" t="str">
        <f t="shared" si="3"/>
        <v/>
      </c>
      <c r="G70" s="27" t="str">
        <f t="shared" si="4"/>
        <v/>
      </c>
    </row>
    <row r="71" spans="3:7" x14ac:dyDescent="0.3">
      <c r="C71" s="26" t="str">
        <f t="shared" si="1"/>
        <v/>
      </c>
      <c r="D71" s="27" t="str">
        <f t="shared" si="0"/>
        <v/>
      </c>
      <c r="E71" s="27" t="str">
        <f t="shared" si="2"/>
        <v/>
      </c>
      <c r="F71" s="28" t="str">
        <f t="shared" si="3"/>
        <v/>
      </c>
      <c r="G71" s="27" t="str">
        <f t="shared" si="4"/>
        <v/>
      </c>
    </row>
    <row r="72" spans="3:7" x14ac:dyDescent="0.3">
      <c r="C72" s="26" t="str">
        <f t="shared" si="1"/>
        <v/>
      </c>
      <c r="D72" s="27" t="str">
        <f t="shared" si="0"/>
        <v/>
      </c>
      <c r="E72" s="27" t="str">
        <f t="shared" si="2"/>
        <v/>
      </c>
      <c r="F72" s="28" t="str">
        <f t="shared" si="3"/>
        <v/>
      </c>
      <c r="G72" s="27" t="str">
        <f t="shared" si="4"/>
        <v/>
      </c>
    </row>
    <row r="73" spans="3:7" x14ac:dyDescent="0.3">
      <c r="C73" s="26" t="str">
        <f t="shared" si="1"/>
        <v/>
      </c>
      <c r="D73" s="27" t="str">
        <f t="shared" si="0"/>
        <v/>
      </c>
      <c r="E73" s="27" t="str">
        <f t="shared" si="2"/>
        <v/>
      </c>
      <c r="F73" s="28" t="str">
        <f t="shared" si="3"/>
        <v/>
      </c>
      <c r="G73" s="27" t="str">
        <f t="shared" si="4"/>
        <v/>
      </c>
    </row>
    <row r="74" spans="3:7" x14ac:dyDescent="0.3">
      <c r="C74" s="26" t="str">
        <f t="shared" si="1"/>
        <v/>
      </c>
      <c r="D74" s="27" t="str">
        <f t="shared" si="0"/>
        <v/>
      </c>
      <c r="E74" s="27" t="str">
        <f t="shared" si="2"/>
        <v/>
      </c>
      <c r="F74" s="28" t="str">
        <f t="shared" si="3"/>
        <v/>
      </c>
      <c r="G74" s="27" t="str">
        <f t="shared" si="4"/>
        <v/>
      </c>
    </row>
    <row r="75" spans="3:7" x14ac:dyDescent="0.3">
      <c r="C75" s="26" t="str">
        <f t="shared" si="1"/>
        <v/>
      </c>
      <c r="D75" s="27" t="str">
        <f t="shared" si="0"/>
        <v/>
      </c>
      <c r="E75" s="27" t="str">
        <f t="shared" si="2"/>
        <v/>
      </c>
      <c r="F75" s="28" t="str">
        <f t="shared" si="3"/>
        <v/>
      </c>
      <c r="G75" s="27" t="str">
        <f t="shared" si="4"/>
        <v/>
      </c>
    </row>
    <row r="76" spans="3:7" x14ac:dyDescent="0.3">
      <c r="C76" s="26" t="str">
        <f t="shared" si="1"/>
        <v/>
      </c>
      <c r="D76" s="27" t="str">
        <f t="shared" si="0"/>
        <v/>
      </c>
      <c r="E76" s="27" t="str">
        <f t="shared" si="2"/>
        <v/>
      </c>
      <c r="F76" s="28" t="str">
        <f t="shared" si="3"/>
        <v/>
      </c>
      <c r="G76" s="27" t="str">
        <f t="shared" si="4"/>
        <v/>
      </c>
    </row>
    <row r="77" spans="3:7" x14ac:dyDescent="0.3">
      <c r="C77" s="26" t="str">
        <f t="shared" si="1"/>
        <v/>
      </c>
      <c r="D77" s="27" t="str">
        <f t="shared" si="0"/>
        <v/>
      </c>
      <c r="E77" s="27" t="str">
        <f t="shared" si="2"/>
        <v/>
      </c>
      <c r="F77" s="28" t="str">
        <f t="shared" si="3"/>
        <v/>
      </c>
      <c r="G77" s="27" t="str">
        <f t="shared" si="4"/>
        <v/>
      </c>
    </row>
    <row r="78" spans="3:7" x14ac:dyDescent="0.3">
      <c r="C78" s="26" t="str">
        <f t="shared" si="1"/>
        <v/>
      </c>
      <c r="D78" s="27" t="str">
        <f t="shared" ref="D78:D141" si="5">IF(C78&gt;$D$9,"",PMT($D$7,$D$9,$D$3)*-1)</f>
        <v/>
      </c>
      <c r="E78" s="27" t="str">
        <f t="shared" si="2"/>
        <v/>
      </c>
      <c r="F78" s="28" t="str">
        <f t="shared" si="3"/>
        <v/>
      </c>
      <c r="G78" s="27" t="str">
        <f t="shared" si="4"/>
        <v/>
      </c>
    </row>
    <row r="79" spans="3:7" x14ac:dyDescent="0.3">
      <c r="C79" s="26" t="str">
        <f t="shared" ref="C79:C142" si="6">IF(OR(C78=$D$9,C78=""),"",IF(ISNUMBER(C78),C78+1,1))</f>
        <v/>
      </c>
      <c r="D79" s="27" t="str">
        <f t="shared" si="5"/>
        <v/>
      </c>
      <c r="E79" s="27" t="str">
        <f t="shared" ref="E79:E142" si="7">IF(C79&gt;$D$9,"",$D$7*G78)</f>
        <v/>
      </c>
      <c r="F79" s="28" t="str">
        <f t="shared" ref="F79:F142" si="8">IF(C79&gt;$D$9,"",D79-E79)</f>
        <v/>
      </c>
      <c r="G79" s="27" t="str">
        <f t="shared" ref="G79:G142" si="9">IF(C79&gt;$D$9,"",G78-F79)</f>
        <v/>
      </c>
    </row>
    <row r="80" spans="3:7" x14ac:dyDescent="0.3">
      <c r="C80" s="26" t="str">
        <f t="shared" si="6"/>
        <v/>
      </c>
      <c r="D80" s="27" t="str">
        <f t="shared" si="5"/>
        <v/>
      </c>
      <c r="E80" s="27" t="str">
        <f t="shared" si="7"/>
        <v/>
      </c>
      <c r="F80" s="28" t="str">
        <f t="shared" si="8"/>
        <v/>
      </c>
      <c r="G80" s="27" t="str">
        <f t="shared" si="9"/>
        <v/>
      </c>
    </row>
    <row r="81" spans="3:7" x14ac:dyDescent="0.3">
      <c r="C81" s="26" t="str">
        <f t="shared" si="6"/>
        <v/>
      </c>
      <c r="D81" s="27" t="str">
        <f t="shared" si="5"/>
        <v/>
      </c>
      <c r="E81" s="27" t="str">
        <f t="shared" si="7"/>
        <v/>
      </c>
      <c r="F81" s="28" t="str">
        <f t="shared" si="8"/>
        <v/>
      </c>
      <c r="G81" s="27" t="str">
        <f t="shared" si="9"/>
        <v/>
      </c>
    </row>
    <row r="82" spans="3:7" x14ac:dyDescent="0.3">
      <c r="C82" s="26" t="str">
        <f t="shared" si="6"/>
        <v/>
      </c>
      <c r="D82" s="27" t="str">
        <f t="shared" si="5"/>
        <v/>
      </c>
      <c r="E82" s="27" t="str">
        <f t="shared" si="7"/>
        <v/>
      </c>
      <c r="F82" s="28" t="str">
        <f t="shared" si="8"/>
        <v/>
      </c>
      <c r="G82" s="27" t="str">
        <f t="shared" si="9"/>
        <v/>
      </c>
    </row>
    <row r="83" spans="3:7" x14ac:dyDescent="0.3">
      <c r="C83" s="26" t="str">
        <f t="shared" si="6"/>
        <v/>
      </c>
      <c r="D83" s="27" t="str">
        <f t="shared" si="5"/>
        <v/>
      </c>
      <c r="E83" s="27" t="str">
        <f t="shared" si="7"/>
        <v/>
      </c>
      <c r="F83" s="28" t="str">
        <f t="shared" si="8"/>
        <v/>
      </c>
      <c r="G83" s="27" t="str">
        <f t="shared" si="9"/>
        <v/>
      </c>
    </row>
    <row r="84" spans="3:7" x14ac:dyDescent="0.3">
      <c r="C84" s="26" t="str">
        <f t="shared" si="6"/>
        <v/>
      </c>
      <c r="D84" s="27" t="str">
        <f t="shared" si="5"/>
        <v/>
      </c>
      <c r="E84" s="27" t="str">
        <f t="shared" si="7"/>
        <v/>
      </c>
      <c r="F84" s="28" t="str">
        <f t="shared" si="8"/>
        <v/>
      </c>
      <c r="G84" s="27" t="str">
        <f t="shared" si="9"/>
        <v/>
      </c>
    </row>
    <row r="85" spans="3:7" x14ac:dyDescent="0.3">
      <c r="C85" s="26" t="str">
        <f t="shared" si="6"/>
        <v/>
      </c>
      <c r="D85" s="27" t="str">
        <f t="shared" si="5"/>
        <v/>
      </c>
      <c r="E85" s="27" t="str">
        <f t="shared" si="7"/>
        <v/>
      </c>
      <c r="F85" s="28" t="str">
        <f t="shared" si="8"/>
        <v/>
      </c>
      <c r="G85" s="27" t="str">
        <f t="shared" si="9"/>
        <v/>
      </c>
    </row>
    <row r="86" spans="3:7" x14ac:dyDescent="0.3">
      <c r="C86" s="26" t="str">
        <f t="shared" si="6"/>
        <v/>
      </c>
      <c r="D86" s="27" t="str">
        <f t="shared" si="5"/>
        <v/>
      </c>
      <c r="E86" s="27" t="str">
        <f t="shared" si="7"/>
        <v/>
      </c>
      <c r="F86" s="28" t="str">
        <f t="shared" si="8"/>
        <v/>
      </c>
      <c r="G86" s="27" t="str">
        <f t="shared" si="9"/>
        <v/>
      </c>
    </row>
    <row r="87" spans="3:7" x14ac:dyDescent="0.3">
      <c r="C87" s="26" t="str">
        <f t="shared" si="6"/>
        <v/>
      </c>
      <c r="D87" s="27" t="str">
        <f t="shared" si="5"/>
        <v/>
      </c>
      <c r="E87" s="27" t="str">
        <f t="shared" si="7"/>
        <v/>
      </c>
      <c r="F87" s="28" t="str">
        <f t="shared" si="8"/>
        <v/>
      </c>
      <c r="G87" s="27" t="str">
        <f t="shared" si="9"/>
        <v/>
      </c>
    </row>
    <row r="88" spans="3:7" x14ac:dyDescent="0.3">
      <c r="C88" s="26" t="str">
        <f t="shared" si="6"/>
        <v/>
      </c>
      <c r="D88" s="27" t="str">
        <f t="shared" si="5"/>
        <v/>
      </c>
      <c r="E88" s="27" t="str">
        <f t="shared" si="7"/>
        <v/>
      </c>
      <c r="F88" s="28" t="str">
        <f t="shared" si="8"/>
        <v/>
      </c>
      <c r="G88" s="27" t="str">
        <f t="shared" si="9"/>
        <v/>
      </c>
    </row>
    <row r="89" spans="3:7" x14ac:dyDescent="0.3">
      <c r="C89" s="26" t="str">
        <f t="shared" si="6"/>
        <v/>
      </c>
      <c r="D89" s="27" t="str">
        <f t="shared" si="5"/>
        <v/>
      </c>
      <c r="E89" s="27" t="str">
        <f t="shared" si="7"/>
        <v/>
      </c>
      <c r="F89" s="28" t="str">
        <f t="shared" si="8"/>
        <v/>
      </c>
      <c r="G89" s="27" t="str">
        <f t="shared" si="9"/>
        <v/>
      </c>
    </row>
    <row r="90" spans="3:7" x14ac:dyDescent="0.3">
      <c r="C90" s="26" t="str">
        <f t="shared" si="6"/>
        <v/>
      </c>
      <c r="D90" s="27" t="str">
        <f t="shared" si="5"/>
        <v/>
      </c>
      <c r="E90" s="27" t="str">
        <f t="shared" si="7"/>
        <v/>
      </c>
      <c r="F90" s="28" t="str">
        <f t="shared" si="8"/>
        <v/>
      </c>
      <c r="G90" s="27" t="str">
        <f t="shared" si="9"/>
        <v/>
      </c>
    </row>
    <row r="91" spans="3:7" x14ac:dyDescent="0.3">
      <c r="C91" s="26" t="str">
        <f t="shared" si="6"/>
        <v/>
      </c>
      <c r="D91" s="27" t="str">
        <f t="shared" si="5"/>
        <v/>
      </c>
      <c r="E91" s="27" t="str">
        <f t="shared" si="7"/>
        <v/>
      </c>
      <c r="F91" s="28" t="str">
        <f t="shared" si="8"/>
        <v/>
      </c>
      <c r="G91" s="27" t="str">
        <f t="shared" si="9"/>
        <v/>
      </c>
    </row>
    <row r="92" spans="3:7" x14ac:dyDescent="0.3">
      <c r="C92" s="26" t="str">
        <f t="shared" si="6"/>
        <v/>
      </c>
      <c r="D92" s="27" t="str">
        <f t="shared" si="5"/>
        <v/>
      </c>
      <c r="E92" s="27" t="str">
        <f t="shared" si="7"/>
        <v/>
      </c>
      <c r="F92" s="28" t="str">
        <f t="shared" si="8"/>
        <v/>
      </c>
      <c r="G92" s="27" t="str">
        <f t="shared" si="9"/>
        <v/>
      </c>
    </row>
    <row r="93" spans="3:7" x14ac:dyDescent="0.3">
      <c r="C93" s="26" t="str">
        <f t="shared" si="6"/>
        <v/>
      </c>
      <c r="D93" s="27" t="str">
        <f t="shared" si="5"/>
        <v/>
      </c>
      <c r="E93" s="27" t="str">
        <f t="shared" si="7"/>
        <v/>
      </c>
      <c r="F93" s="28" t="str">
        <f t="shared" si="8"/>
        <v/>
      </c>
      <c r="G93" s="27" t="str">
        <f t="shared" si="9"/>
        <v/>
      </c>
    </row>
    <row r="94" spans="3:7" x14ac:dyDescent="0.3">
      <c r="C94" s="26" t="str">
        <f t="shared" si="6"/>
        <v/>
      </c>
      <c r="D94" s="27" t="str">
        <f t="shared" si="5"/>
        <v/>
      </c>
      <c r="E94" s="27" t="str">
        <f t="shared" si="7"/>
        <v/>
      </c>
      <c r="F94" s="28" t="str">
        <f t="shared" si="8"/>
        <v/>
      </c>
      <c r="G94" s="27" t="str">
        <f t="shared" si="9"/>
        <v/>
      </c>
    </row>
    <row r="95" spans="3:7" x14ac:dyDescent="0.3">
      <c r="C95" s="26" t="str">
        <f t="shared" si="6"/>
        <v/>
      </c>
      <c r="D95" s="27" t="str">
        <f t="shared" si="5"/>
        <v/>
      </c>
      <c r="E95" s="27" t="str">
        <f t="shared" si="7"/>
        <v/>
      </c>
      <c r="F95" s="28" t="str">
        <f t="shared" si="8"/>
        <v/>
      </c>
      <c r="G95" s="27" t="str">
        <f t="shared" si="9"/>
        <v/>
      </c>
    </row>
    <row r="96" spans="3:7" x14ac:dyDescent="0.3">
      <c r="C96" s="26" t="str">
        <f t="shared" si="6"/>
        <v/>
      </c>
      <c r="D96" s="27" t="str">
        <f t="shared" si="5"/>
        <v/>
      </c>
      <c r="E96" s="27" t="str">
        <f t="shared" si="7"/>
        <v/>
      </c>
      <c r="F96" s="28" t="str">
        <f t="shared" si="8"/>
        <v/>
      </c>
      <c r="G96" s="27" t="str">
        <f t="shared" si="9"/>
        <v/>
      </c>
    </row>
    <row r="97" spans="3:7" x14ac:dyDescent="0.3">
      <c r="C97" s="26" t="str">
        <f t="shared" si="6"/>
        <v/>
      </c>
      <c r="D97" s="27" t="str">
        <f t="shared" si="5"/>
        <v/>
      </c>
      <c r="E97" s="27" t="str">
        <f t="shared" si="7"/>
        <v/>
      </c>
      <c r="F97" s="28" t="str">
        <f t="shared" si="8"/>
        <v/>
      </c>
      <c r="G97" s="27" t="str">
        <f t="shared" si="9"/>
        <v/>
      </c>
    </row>
    <row r="98" spans="3:7" x14ac:dyDescent="0.3">
      <c r="C98" s="26" t="str">
        <f t="shared" si="6"/>
        <v/>
      </c>
      <c r="D98" s="27" t="str">
        <f t="shared" si="5"/>
        <v/>
      </c>
      <c r="E98" s="27" t="str">
        <f t="shared" si="7"/>
        <v/>
      </c>
      <c r="F98" s="28" t="str">
        <f t="shared" si="8"/>
        <v/>
      </c>
      <c r="G98" s="27" t="str">
        <f t="shared" si="9"/>
        <v/>
      </c>
    </row>
    <row r="99" spans="3:7" x14ac:dyDescent="0.3">
      <c r="C99" s="26" t="str">
        <f t="shared" si="6"/>
        <v/>
      </c>
      <c r="D99" s="27" t="str">
        <f t="shared" si="5"/>
        <v/>
      </c>
      <c r="E99" s="27" t="str">
        <f t="shared" si="7"/>
        <v/>
      </c>
      <c r="F99" s="28" t="str">
        <f t="shared" si="8"/>
        <v/>
      </c>
      <c r="G99" s="27" t="str">
        <f t="shared" si="9"/>
        <v/>
      </c>
    </row>
    <row r="100" spans="3:7" x14ac:dyDescent="0.3">
      <c r="C100" s="26" t="str">
        <f t="shared" si="6"/>
        <v/>
      </c>
      <c r="D100" s="27" t="str">
        <f t="shared" si="5"/>
        <v/>
      </c>
      <c r="E100" s="27" t="str">
        <f t="shared" si="7"/>
        <v/>
      </c>
      <c r="F100" s="28" t="str">
        <f t="shared" si="8"/>
        <v/>
      </c>
      <c r="G100" s="27" t="str">
        <f t="shared" si="9"/>
        <v/>
      </c>
    </row>
    <row r="101" spans="3:7" x14ac:dyDescent="0.3">
      <c r="C101" s="26" t="str">
        <f t="shared" si="6"/>
        <v/>
      </c>
      <c r="D101" s="27" t="str">
        <f t="shared" si="5"/>
        <v/>
      </c>
      <c r="E101" s="27" t="str">
        <f t="shared" si="7"/>
        <v/>
      </c>
      <c r="F101" s="28" t="str">
        <f t="shared" si="8"/>
        <v/>
      </c>
      <c r="G101" s="27" t="str">
        <f t="shared" si="9"/>
        <v/>
      </c>
    </row>
    <row r="102" spans="3:7" x14ac:dyDescent="0.3">
      <c r="C102" s="26" t="str">
        <f t="shared" si="6"/>
        <v/>
      </c>
      <c r="D102" s="27" t="str">
        <f t="shared" si="5"/>
        <v/>
      </c>
      <c r="E102" s="27" t="str">
        <f t="shared" si="7"/>
        <v/>
      </c>
      <c r="F102" s="28" t="str">
        <f t="shared" si="8"/>
        <v/>
      </c>
      <c r="G102" s="27" t="str">
        <f t="shared" si="9"/>
        <v/>
      </c>
    </row>
    <row r="103" spans="3:7" x14ac:dyDescent="0.3">
      <c r="C103" s="26" t="str">
        <f t="shared" si="6"/>
        <v/>
      </c>
      <c r="D103" s="27" t="str">
        <f t="shared" si="5"/>
        <v/>
      </c>
      <c r="E103" s="27" t="str">
        <f t="shared" si="7"/>
        <v/>
      </c>
      <c r="F103" s="28" t="str">
        <f t="shared" si="8"/>
        <v/>
      </c>
      <c r="G103" s="27" t="str">
        <f t="shared" si="9"/>
        <v/>
      </c>
    </row>
    <row r="104" spans="3:7" x14ac:dyDescent="0.3">
      <c r="C104" s="26" t="str">
        <f t="shared" si="6"/>
        <v/>
      </c>
      <c r="D104" s="27" t="str">
        <f t="shared" si="5"/>
        <v/>
      </c>
      <c r="E104" s="27" t="str">
        <f t="shared" si="7"/>
        <v/>
      </c>
      <c r="F104" s="28" t="str">
        <f t="shared" si="8"/>
        <v/>
      </c>
      <c r="G104" s="27" t="str">
        <f t="shared" si="9"/>
        <v/>
      </c>
    </row>
    <row r="105" spans="3:7" x14ac:dyDescent="0.3">
      <c r="C105" s="26" t="str">
        <f t="shared" si="6"/>
        <v/>
      </c>
      <c r="D105" s="27" t="str">
        <f t="shared" si="5"/>
        <v/>
      </c>
      <c r="E105" s="27" t="str">
        <f t="shared" si="7"/>
        <v/>
      </c>
      <c r="F105" s="28" t="str">
        <f t="shared" si="8"/>
        <v/>
      </c>
      <c r="G105" s="27" t="str">
        <f t="shared" si="9"/>
        <v/>
      </c>
    </row>
    <row r="106" spans="3:7" x14ac:dyDescent="0.3">
      <c r="C106" s="26" t="str">
        <f t="shared" si="6"/>
        <v/>
      </c>
      <c r="D106" s="27" t="str">
        <f t="shared" si="5"/>
        <v/>
      </c>
      <c r="E106" s="27" t="str">
        <f t="shared" si="7"/>
        <v/>
      </c>
      <c r="F106" s="28" t="str">
        <f t="shared" si="8"/>
        <v/>
      </c>
      <c r="G106" s="27" t="str">
        <f t="shared" si="9"/>
        <v/>
      </c>
    </row>
    <row r="107" spans="3:7" x14ac:dyDescent="0.3">
      <c r="C107" s="26" t="str">
        <f t="shared" si="6"/>
        <v/>
      </c>
      <c r="D107" s="27" t="str">
        <f t="shared" si="5"/>
        <v/>
      </c>
      <c r="E107" s="27" t="str">
        <f t="shared" si="7"/>
        <v/>
      </c>
      <c r="F107" s="28" t="str">
        <f t="shared" si="8"/>
        <v/>
      </c>
      <c r="G107" s="27" t="str">
        <f t="shared" si="9"/>
        <v/>
      </c>
    </row>
    <row r="108" spans="3:7" x14ac:dyDescent="0.3">
      <c r="C108" s="26" t="str">
        <f t="shared" si="6"/>
        <v/>
      </c>
      <c r="D108" s="27" t="str">
        <f t="shared" si="5"/>
        <v/>
      </c>
      <c r="E108" s="27" t="str">
        <f t="shared" si="7"/>
        <v/>
      </c>
      <c r="F108" s="28" t="str">
        <f t="shared" si="8"/>
        <v/>
      </c>
      <c r="G108" s="27" t="str">
        <f t="shared" si="9"/>
        <v/>
      </c>
    </row>
    <row r="109" spans="3:7" x14ac:dyDescent="0.3">
      <c r="C109" s="26" t="str">
        <f t="shared" si="6"/>
        <v/>
      </c>
      <c r="D109" s="27" t="str">
        <f t="shared" si="5"/>
        <v/>
      </c>
      <c r="E109" s="27" t="str">
        <f t="shared" si="7"/>
        <v/>
      </c>
      <c r="F109" s="28" t="str">
        <f t="shared" si="8"/>
        <v/>
      </c>
      <c r="G109" s="27" t="str">
        <f t="shared" si="9"/>
        <v/>
      </c>
    </row>
    <row r="110" spans="3:7" x14ac:dyDescent="0.3">
      <c r="C110" s="26" t="str">
        <f t="shared" si="6"/>
        <v/>
      </c>
      <c r="D110" s="27" t="str">
        <f t="shared" si="5"/>
        <v/>
      </c>
      <c r="E110" s="27" t="str">
        <f t="shared" si="7"/>
        <v/>
      </c>
      <c r="F110" s="28" t="str">
        <f t="shared" si="8"/>
        <v/>
      </c>
      <c r="G110" s="27" t="str">
        <f t="shared" si="9"/>
        <v/>
      </c>
    </row>
    <row r="111" spans="3:7" x14ac:dyDescent="0.3">
      <c r="C111" s="26" t="str">
        <f t="shared" si="6"/>
        <v/>
      </c>
      <c r="D111" s="27" t="str">
        <f t="shared" si="5"/>
        <v/>
      </c>
      <c r="E111" s="27" t="str">
        <f t="shared" si="7"/>
        <v/>
      </c>
      <c r="F111" s="28" t="str">
        <f t="shared" si="8"/>
        <v/>
      </c>
      <c r="G111" s="27" t="str">
        <f t="shared" si="9"/>
        <v/>
      </c>
    </row>
    <row r="112" spans="3:7" x14ac:dyDescent="0.3">
      <c r="C112" s="26" t="str">
        <f t="shared" si="6"/>
        <v/>
      </c>
      <c r="D112" s="27" t="str">
        <f t="shared" si="5"/>
        <v/>
      </c>
      <c r="E112" s="27" t="str">
        <f t="shared" si="7"/>
        <v/>
      </c>
      <c r="F112" s="28" t="str">
        <f t="shared" si="8"/>
        <v/>
      </c>
      <c r="G112" s="27" t="str">
        <f t="shared" si="9"/>
        <v/>
      </c>
    </row>
    <row r="113" spans="3:7" x14ac:dyDescent="0.3">
      <c r="C113" s="26" t="str">
        <f t="shared" si="6"/>
        <v/>
      </c>
      <c r="D113" s="27" t="str">
        <f t="shared" si="5"/>
        <v/>
      </c>
      <c r="E113" s="27" t="str">
        <f t="shared" si="7"/>
        <v/>
      </c>
      <c r="F113" s="28" t="str">
        <f t="shared" si="8"/>
        <v/>
      </c>
      <c r="G113" s="27" t="str">
        <f t="shared" si="9"/>
        <v/>
      </c>
    </row>
    <row r="114" spans="3:7" x14ac:dyDescent="0.3">
      <c r="C114" s="26" t="str">
        <f t="shared" si="6"/>
        <v/>
      </c>
      <c r="D114" s="27" t="str">
        <f t="shared" si="5"/>
        <v/>
      </c>
      <c r="E114" s="27" t="str">
        <f t="shared" si="7"/>
        <v/>
      </c>
      <c r="F114" s="28" t="str">
        <f t="shared" si="8"/>
        <v/>
      </c>
      <c r="G114" s="27" t="str">
        <f t="shared" si="9"/>
        <v/>
      </c>
    </row>
    <row r="115" spans="3:7" x14ac:dyDescent="0.3">
      <c r="C115" s="26" t="str">
        <f t="shared" si="6"/>
        <v/>
      </c>
      <c r="D115" s="27" t="str">
        <f t="shared" si="5"/>
        <v/>
      </c>
      <c r="E115" s="27" t="str">
        <f t="shared" si="7"/>
        <v/>
      </c>
      <c r="F115" s="28" t="str">
        <f t="shared" si="8"/>
        <v/>
      </c>
      <c r="G115" s="27" t="str">
        <f t="shared" si="9"/>
        <v/>
      </c>
    </row>
    <row r="116" spans="3:7" x14ac:dyDescent="0.3">
      <c r="C116" s="26" t="str">
        <f t="shared" si="6"/>
        <v/>
      </c>
      <c r="D116" s="27" t="str">
        <f t="shared" si="5"/>
        <v/>
      </c>
      <c r="E116" s="27" t="str">
        <f t="shared" si="7"/>
        <v/>
      </c>
      <c r="F116" s="28" t="str">
        <f t="shared" si="8"/>
        <v/>
      </c>
      <c r="G116" s="27" t="str">
        <f t="shared" si="9"/>
        <v/>
      </c>
    </row>
    <row r="117" spans="3:7" x14ac:dyDescent="0.3">
      <c r="C117" s="26" t="str">
        <f t="shared" si="6"/>
        <v/>
      </c>
      <c r="D117" s="27" t="str">
        <f t="shared" si="5"/>
        <v/>
      </c>
      <c r="E117" s="27" t="str">
        <f t="shared" si="7"/>
        <v/>
      </c>
      <c r="F117" s="28" t="str">
        <f t="shared" si="8"/>
        <v/>
      </c>
      <c r="G117" s="27" t="str">
        <f t="shared" si="9"/>
        <v/>
      </c>
    </row>
    <row r="118" spans="3:7" x14ac:dyDescent="0.3">
      <c r="C118" s="26" t="str">
        <f t="shared" si="6"/>
        <v/>
      </c>
      <c r="D118" s="27" t="str">
        <f t="shared" si="5"/>
        <v/>
      </c>
      <c r="E118" s="27" t="str">
        <f t="shared" si="7"/>
        <v/>
      </c>
      <c r="F118" s="28" t="str">
        <f t="shared" si="8"/>
        <v/>
      </c>
      <c r="G118" s="27" t="str">
        <f t="shared" si="9"/>
        <v/>
      </c>
    </row>
    <row r="119" spans="3:7" x14ac:dyDescent="0.3">
      <c r="C119" s="26" t="str">
        <f t="shared" si="6"/>
        <v/>
      </c>
      <c r="D119" s="27" t="str">
        <f t="shared" si="5"/>
        <v/>
      </c>
      <c r="E119" s="27" t="str">
        <f t="shared" si="7"/>
        <v/>
      </c>
      <c r="F119" s="28" t="str">
        <f t="shared" si="8"/>
        <v/>
      </c>
      <c r="G119" s="27" t="str">
        <f t="shared" si="9"/>
        <v/>
      </c>
    </row>
    <row r="120" spans="3:7" x14ac:dyDescent="0.3">
      <c r="C120" s="26" t="str">
        <f t="shared" si="6"/>
        <v/>
      </c>
      <c r="D120" s="27" t="str">
        <f t="shared" si="5"/>
        <v/>
      </c>
      <c r="E120" s="27" t="str">
        <f t="shared" si="7"/>
        <v/>
      </c>
      <c r="F120" s="28" t="str">
        <f t="shared" si="8"/>
        <v/>
      </c>
      <c r="G120" s="27" t="str">
        <f t="shared" si="9"/>
        <v/>
      </c>
    </row>
    <row r="121" spans="3:7" x14ac:dyDescent="0.3">
      <c r="C121" s="26" t="str">
        <f t="shared" si="6"/>
        <v/>
      </c>
      <c r="D121" s="27" t="str">
        <f t="shared" si="5"/>
        <v/>
      </c>
      <c r="E121" s="27" t="str">
        <f t="shared" si="7"/>
        <v/>
      </c>
      <c r="F121" s="28" t="str">
        <f t="shared" si="8"/>
        <v/>
      </c>
      <c r="G121" s="27" t="str">
        <f t="shared" si="9"/>
        <v/>
      </c>
    </row>
    <row r="122" spans="3:7" x14ac:dyDescent="0.3">
      <c r="C122" s="26" t="str">
        <f t="shared" si="6"/>
        <v/>
      </c>
      <c r="D122" s="27" t="str">
        <f t="shared" si="5"/>
        <v/>
      </c>
      <c r="E122" s="27" t="str">
        <f t="shared" si="7"/>
        <v/>
      </c>
      <c r="F122" s="28" t="str">
        <f t="shared" si="8"/>
        <v/>
      </c>
      <c r="G122" s="27" t="str">
        <f t="shared" si="9"/>
        <v/>
      </c>
    </row>
    <row r="123" spans="3:7" x14ac:dyDescent="0.3">
      <c r="C123" s="26" t="str">
        <f t="shared" si="6"/>
        <v/>
      </c>
      <c r="D123" s="27" t="str">
        <f t="shared" si="5"/>
        <v/>
      </c>
      <c r="E123" s="27" t="str">
        <f t="shared" si="7"/>
        <v/>
      </c>
      <c r="F123" s="28" t="str">
        <f t="shared" si="8"/>
        <v/>
      </c>
      <c r="G123" s="27" t="str">
        <f t="shared" si="9"/>
        <v/>
      </c>
    </row>
    <row r="124" spans="3:7" x14ac:dyDescent="0.3">
      <c r="C124" s="26" t="str">
        <f t="shared" si="6"/>
        <v/>
      </c>
      <c r="D124" s="27" t="str">
        <f t="shared" si="5"/>
        <v/>
      </c>
      <c r="E124" s="27" t="str">
        <f t="shared" si="7"/>
        <v/>
      </c>
      <c r="F124" s="28" t="str">
        <f t="shared" si="8"/>
        <v/>
      </c>
      <c r="G124" s="27" t="str">
        <f t="shared" si="9"/>
        <v/>
      </c>
    </row>
    <row r="125" spans="3:7" x14ac:dyDescent="0.3">
      <c r="C125" s="26" t="str">
        <f t="shared" si="6"/>
        <v/>
      </c>
      <c r="D125" s="27" t="str">
        <f t="shared" si="5"/>
        <v/>
      </c>
      <c r="E125" s="27" t="str">
        <f t="shared" si="7"/>
        <v/>
      </c>
      <c r="F125" s="28" t="str">
        <f t="shared" si="8"/>
        <v/>
      </c>
      <c r="G125" s="27" t="str">
        <f t="shared" si="9"/>
        <v/>
      </c>
    </row>
    <row r="126" spans="3:7" x14ac:dyDescent="0.3">
      <c r="C126" s="26" t="str">
        <f t="shared" si="6"/>
        <v/>
      </c>
      <c r="D126" s="27" t="str">
        <f t="shared" si="5"/>
        <v/>
      </c>
      <c r="E126" s="27" t="str">
        <f t="shared" si="7"/>
        <v/>
      </c>
      <c r="F126" s="28" t="str">
        <f t="shared" si="8"/>
        <v/>
      </c>
      <c r="G126" s="27" t="str">
        <f t="shared" si="9"/>
        <v/>
      </c>
    </row>
    <row r="127" spans="3:7" x14ac:dyDescent="0.3">
      <c r="C127" s="26" t="str">
        <f t="shared" si="6"/>
        <v/>
      </c>
      <c r="D127" s="27" t="str">
        <f t="shared" si="5"/>
        <v/>
      </c>
      <c r="E127" s="27" t="str">
        <f t="shared" si="7"/>
        <v/>
      </c>
      <c r="F127" s="28" t="str">
        <f t="shared" si="8"/>
        <v/>
      </c>
      <c r="G127" s="27" t="str">
        <f t="shared" si="9"/>
        <v/>
      </c>
    </row>
    <row r="128" spans="3:7" x14ac:dyDescent="0.3">
      <c r="C128" s="26" t="str">
        <f t="shared" si="6"/>
        <v/>
      </c>
      <c r="D128" s="27" t="str">
        <f t="shared" si="5"/>
        <v/>
      </c>
      <c r="E128" s="27" t="str">
        <f t="shared" si="7"/>
        <v/>
      </c>
      <c r="F128" s="28" t="str">
        <f t="shared" si="8"/>
        <v/>
      </c>
      <c r="G128" s="27" t="str">
        <f t="shared" si="9"/>
        <v/>
      </c>
    </row>
    <row r="129" spans="3:7" x14ac:dyDescent="0.3">
      <c r="C129" s="26" t="str">
        <f t="shared" si="6"/>
        <v/>
      </c>
      <c r="D129" s="27" t="str">
        <f t="shared" si="5"/>
        <v/>
      </c>
      <c r="E129" s="27" t="str">
        <f t="shared" si="7"/>
        <v/>
      </c>
      <c r="F129" s="28" t="str">
        <f t="shared" si="8"/>
        <v/>
      </c>
      <c r="G129" s="27" t="str">
        <f t="shared" si="9"/>
        <v/>
      </c>
    </row>
    <row r="130" spans="3:7" x14ac:dyDescent="0.3">
      <c r="C130" s="26" t="str">
        <f t="shared" si="6"/>
        <v/>
      </c>
      <c r="D130" s="27" t="str">
        <f t="shared" si="5"/>
        <v/>
      </c>
      <c r="E130" s="27" t="str">
        <f t="shared" si="7"/>
        <v/>
      </c>
      <c r="F130" s="28" t="str">
        <f t="shared" si="8"/>
        <v/>
      </c>
      <c r="G130" s="27" t="str">
        <f t="shared" si="9"/>
        <v/>
      </c>
    </row>
    <row r="131" spans="3:7" x14ac:dyDescent="0.3">
      <c r="C131" s="26" t="str">
        <f t="shared" si="6"/>
        <v/>
      </c>
      <c r="D131" s="27" t="str">
        <f t="shared" si="5"/>
        <v/>
      </c>
      <c r="E131" s="27" t="str">
        <f t="shared" si="7"/>
        <v/>
      </c>
      <c r="F131" s="28" t="str">
        <f t="shared" si="8"/>
        <v/>
      </c>
      <c r="G131" s="27" t="str">
        <f t="shared" si="9"/>
        <v/>
      </c>
    </row>
    <row r="132" spans="3:7" x14ac:dyDescent="0.3">
      <c r="C132" s="26" t="str">
        <f t="shared" si="6"/>
        <v/>
      </c>
      <c r="D132" s="27" t="str">
        <f t="shared" si="5"/>
        <v/>
      </c>
      <c r="E132" s="27" t="str">
        <f t="shared" si="7"/>
        <v/>
      </c>
      <c r="F132" s="28" t="str">
        <f t="shared" si="8"/>
        <v/>
      </c>
      <c r="G132" s="27" t="str">
        <f t="shared" si="9"/>
        <v/>
      </c>
    </row>
    <row r="133" spans="3:7" x14ac:dyDescent="0.3">
      <c r="C133" s="26" t="str">
        <f t="shared" si="6"/>
        <v/>
      </c>
      <c r="D133" s="27" t="str">
        <f t="shared" si="5"/>
        <v/>
      </c>
      <c r="E133" s="27" t="str">
        <f t="shared" si="7"/>
        <v/>
      </c>
      <c r="F133" s="28" t="str">
        <f t="shared" si="8"/>
        <v/>
      </c>
      <c r="G133" s="27" t="str">
        <f t="shared" si="9"/>
        <v/>
      </c>
    </row>
    <row r="134" spans="3:7" x14ac:dyDescent="0.3">
      <c r="C134" s="26" t="str">
        <f t="shared" si="6"/>
        <v/>
      </c>
      <c r="D134" s="27" t="str">
        <f t="shared" si="5"/>
        <v/>
      </c>
      <c r="E134" s="27" t="str">
        <f t="shared" si="7"/>
        <v/>
      </c>
      <c r="F134" s="28" t="str">
        <f t="shared" si="8"/>
        <v/>
      </c>
      <c r="G134" s="27" t="str">
        <f t="shared" si="9"/>
        <v/>
      </c>
    </row>
    <row r="135" spans="3:7" x14ac:dyDescent="0.3">
      <c r="C135" s="26" t="str">
        <f t="shared" si="6"/>
        <v/>
      </c>
      <c r="D135" s="27" t="str">
        <f t="shared" si="5"/>
        <v/>
      </c>
      <c r="E135" s="27" t="str">
        <f t="shared" si="7"/>
        <v/>
      </c>
      <c r="F135" s="28" t="str">
        <f t="shared" si="8"/>
        <v/>
      </c>
      <c r="G135" s="27" t="str">
        <f t="shared" si="9"/>
        <v/>
      </c>
    </row>
    <row r="136" spans="3:7" x14ac:dyDescent="0.3">
      <c r="C136" s="26" t="str">
        <f t="shared" si="6"/>
        <v/>
      </c>
      <c r="D136" s="27" t="str">
        <f t="shared" si="5"/>
        <v/>
      </c>
      <c r="E136" s="27" t="str">
        <f t="shared" si="7"/>
        <v/>
      </c>
      <c r="F136" s="28" t="str">
        <f t="shared" si="8"/>
        <v/>
      </c>
      <c r="G136" s="27" t="str">
        <f t="shared" si="9"/>
        <v/>
      </c>
    </row>
    <row r="137" spans="3:7" x14ac:dyDescent="0.3">
      <c r="C137" s="26" t="str">
        <f t="shared" si="6"/>
        <v/>
      </c>
      <c r="D137" s="27" t="str">
        <f t="shared" si="5"/>
        <v/>
      </c>
      <c r="E137" s="27" t="str">
        <f t="shared" si="7"/>
        <v/>
      </c>
      <c r="F137" s="28" t="str">
        <f t="shared" si="8"/>
        <v/>
      </c>
      <c r="G137" s="27" t="str">
        <f t="shared" si="9"/>
        <v/>
      </c>
    </row>
    <row r="138" spans="3:7" x14ac:dyDescent="0.3">
      <c r="C138" s="26" t="str">
        <f t="shared" si="6"/>
        <v/>
      </c>
      <c r="D138" s="27" t="str">
        <f t="shared" si="5"/>
        <v/>
      </c>
      <c r="E138" s="27" t="str">
        <f t="shared" si="7"/>
        <v/>
      </c>
      <c r="F138" s="28" t="str">
        <f t="shared" si="8"/>
        <v/>
      </c>
      <c r="G138" s="27" t="str">
        <f t="shared" si="9"/>
        <v/>
      </c>
    </row>
    <row r="139" spans="3:7" x14ac:dyDescent="0.3">
      <c r="C139" s="26" t="str">
        <f t="shared" si="6"/>
        <v/>
      </c>
      <c r="D139" s="27" t="str">
        <f t="shared" si="5"/>
        <v/>
      </c>
      <c r="E139" s="27" t="str">
        <f t="shared" si="7"/>
        <v/>
      </c>
      <c r="F139" s="28" t="str">
        <f t="shared" si="8"/>
        <v/>
      </c>
      <c r="G139" s="27" t="str">
        <f t="shared" si="9"/>
        <v/>
      </c>
    </row>
    <row r="140" spans="3:7" x14ac:dyDescent="0.3">
      <c r="C140" s="26" t="str">
        <f t="shared" si="6"/>
        <v/>
      </c>
      <c r="D140" s="27" t="str">
        <f t="shared" si="5"/>
        <v/>
      </c>
      <c r="E140" s="27" t="str">
        <f t="shared" si="7"/>
        <v/>
      </c>
      <c r="F140" s="28" t="str">
        <f t="shared" si="8"/>
        <v/>
      </c>
      <c r="G140" s="27" t="str">
        <f t="shared" si="9"/>
        <v/>
      </c>
    </row>
    <row r="141" spans="3:7" x14ac:dyDescent="0.3">
      <c r="C141" s="26" t="str">
        <f t="shared" si="6"/>
        <v/>
      </c>
      <c r="D141" s="27" t="str">
        <f t="shared" si="5"/>
        <v/>
      </c>
      <c r="E141" s="27" t="str">
        <f t="shared" si="7"/>
        <v/>
      </c>
      <c r="F141" s="28" t="str">
        <f t="shared" si="8"/>
        <v/>
      </c>
      <c r="G141" s="27" t="str">
        <f t="shared" si="9"/>
        <v/>
      </c>
    </row>
    <row r="142" spans="3:7" x14ac:dyDescent="0.3">
      <c r="C142" s="26" t="str">
        <f t="shared" si="6"/>
        <v/>
      </c>
      <c r="D142" s="27" t="str">
        <f t="shared" ref="D142:D205" si="10">IF(C142&gt;$D$9,"",PMT($D$7,$D$9,$D$3)*-1)</f>
        <v/>
      </c>
      <c r="E142" s="27" t="str">
        <f t="shared" si="7"/>
        <v/>
      </c>
      <c r="F142" s="28" t="str">
        <f t="shared" si="8"/>
        <v/>
      </c>
      <c r="G142" s="27" t="str">
        <f t="shared" si="9"/>
        <v/>
      </c>
    </row>
    <row r="143" spans="3:7" x14ac:dyDescent="0.3">
      <c r="C143" s="26" t="str">
        <f t="shared" ref="C143:C206" si="11">IF(OR(C142=$D$9,C142=""),"",IF(ISNUMBER(C142),C142+1,1))</f>
        <v/>
      </c>
      <c r="D143" s="27" t="str">
        <f t="shared" si="10"/>
        <v/>
      </c>
      <c r="E143" s="27" t="str">
        <f t="shared" ref="E143:E206" si="12">IF(C143&gt;$D$9,"",$D$7*G142)</f>
        <v/>
      </c>
      <c r="F143" s="28" t="str">
        <f t="shared" ref="F143:F206" si="13">IF(C143&gt;$D$9,"",D143-E143)</f>
        <v/>
      </c>
      <c r="G143" s="27" t="str">
        <f t="shared" ref="G143:G206" si="14">IF(C143&gt;$D$9,"",G142-F143)</f>
        <v/>
      </c>
    </row>
    <row r="144" spans="3:7" x14ac:dyDescent="0.3">
      <c r="C144" s="26" t="str">
        <f t="shared" si="11"/>
        <v/>
      </c>
      <c r="D144" s="27" t="str">
        <f t="shared" si="10"/>
        <v/>
      </c>
      <c r="E144" s="27" t="str">
        <f t="shared" si="12"/>
        <v/>
      </c>
      <c r="F144" s="28" t="str">
        <f t="shared" si="13"/>
        <v/>
      </c>
      <c r="G144" s="27" t="str">
        <f t="shared" si="14"/>
        <v/>
      </c>
    </row>
    <row r="145" spans="3:7" x14ac:dyDescent="0.3">
      <c r="C145" s="26" t="str">
        <f t="shared" si="11"/>
        <v/>
      </c>
      <c r="D145" s="27" t="str">
        <f t="shared" si="10"/>
        <v/>
      </c>
      <c r="E145" s="27" t="str">
        <f t="shared" si="12"/>
        <v/>
      </c>
      <c r="F145" s="28" t="str">
        <f t="shared" si="13"/>
        <v/>
      </c>
      <c r="G145" s="27" t="str">
        <f t="shared" si="14"/>
        <v/>
      </c>
    </row>
    <row r="146" spans="3:7" x14ac:dyDescent="0.3">
      <c r="C146" s="26" t="str">
        <f t="shared" si="11"/>
        <v/>
      </c>
      <c r="D146" s="27" t="str">
        <f t="shared" si="10"/>
        <v/>
      </c>
      <c r="E146" s="27" t="str">
        <f t="shared" si="12"/>
        <v/>
      </c>
      <c r="F146" s="28" t="str">
        <f t="shared" si="13"/>
        <v/>
      </c>
      <c r="G146" s="27" t="str">
        <f t="shared" si="14"/>
        <v/>
      </c>
    </row>
    <row r="147" spans="3:7" x14ac:dyDescent="0.3">
      <c r="C147" s="26" t="str">
        <f t="shared" si="11"/>
        <v/>
      </c>
      <c r="D147" s="27" t="str">
        <f t="shared" si="10"/>
        <v/>
      </c>
      <c r="E147" s="27" t="str">
        <f t="shared" si="12"/>
        <v/>
      </c>
      <c r="F147" s="28" t="str">
        <f t="shared" si="13"/>
        <v/>
      </c>
      <c r="G147" s="27" t="str">
        <f t="shared" si="14"/>
        <v/>
      </c>
    </row>
    <row r="148" spans="3:7" x14ac:dyDescent="0.3">
      <c r="C148" s="26" t="str">
        <f t="shared" si="11"/>
        <v/>
      </c>
      <c r="D148" s="27" t="str">
        <f t="shared" si="10"/>
        <v/>
      </c>
      <c r="E148" s="27" t="str">
        <f t="shared" si="12"/>
        <v/>
      </c>
      <c r="F148" s="28" t="str">
        <f t="shared" si="13"/>
        <v/>
      </c>
      <c r="G148" s="27" t="str">
        <f t="shared" si="14"/>
        <v/>
      </c>
    </row>
    <row r="149" spans="3:7" x14ac:dyDescent="0.3">
      <c r="C149" s="26" t="str">
        <f t="shared" si="11"/>
        <v/>
      </c>
      <c r="D149" s="27" t="str">
        <f t="shared" si="10"/>
        <v/>
      </c>
      <c r="E149" s="27" t="str">
        <f t="shared" si="12"/>
        <v/>
      </c>
      <c r="F149" s="28" t="str">
        <f t="shared" si="13"/>
        <v/>
      </c>
      <c r="G149" s="27" t="str">
        <f t="shared" si="14"/>
        <v/>
      </c>
    </row>
    <row r="150" spans="3:7" x14ac:dyDescent="0.3">
      <c r="C150" s="26" t="str">
        <f t="shared" si="11"/>
        <v/>
      </c>
      <c r="D150" s="27" t="str">
        <f t="shared" si="10"/>
        <v/>
      </c>
      <c r="E150" s="27" t="str">
        <f t="shared" si="12"/>
        <v/>
      </c>
      <c r="F150" s="28" t="str">
        <f t="shared" si="13"/>
        <v/>
      </c>
      <c r="G150" s="27" t="str">
        <f t="shared" si="14"/>
        <v/>
      </c>
    </row>
    <row r="151" spans="3:7" x14ac:dyDescent="0.3">
      <c r="C151" s="26" t="str">
        <f t="shared" si="11"/>
        <v/>
      </c>
      <c r="D151" s="27" t="str">
        <f t="shared" si="10"/>
        <v/>
      </c>
      <c r="E151" s="27" t="str">
        <f t="shared" si="12"/>
        <v/>
      </c>
      <c r="F151" s="28" t="str">
        <f t="shared" si="13"/>
        <v/>
      </c>
      <c r="G151" s="27" t="str">
        <f t="shared" si="14"/>
        <v/>
      </c>
    </row>
    <row r="152" spans="3:7" x14ac:dyDescent="0.3">
      <c r="C152" s="26" t="str">
        <f t="shared" si="11"/>
        <v/>
      </c>
      <c r="D152" s="27" t="str">
        <f t="shared" si="10"/>
        <v/>
      </c>
      <c r="E152" s="27" t="str">
        <f t="shared" si="12"/>
        <v/>
      </c>
      <c r="F152" s="28" t="str">
        <f t="shared" si="13"/>
        <v/>
      </c>
      <c r="G152" s="27" t="str">
        <f t="shared" si="14"/>
        <v/>
      </c>
    </row>
    <row r="153" spans="3:7" x14ac:dyDescent="0.3">
      <c r="C153" s="26" t="str">
        <f t="shared" si="11"/>
        <v/>
      </c>
      <c r="D153" s="27" t="str">
        <f t="shared" si="10"/>
        <v/>
      </c>
      <c r="E153" s="27" t="str">
        <f t="shared" si="12"/>
        <v/>
      </c>
      <c r="F153" s="28" t="str">
        <f t="shared" si="13"/>
        <v/>
      </c>
      <c r="G153" s="27" t="str">
        <f t="shared" si="14"/>
        <v/>
      </c>
    </row>
    <row r="154" spans="3:7" x14ac:dyDescent="0.3">
      <c r="C154" s="26" t="str">
        <f t="shared" si="11"/>
        <v/>
      </c>
      <c r="D154" s="27" t="str">
        <f t="shared" si="10"/>
        <v/>
      </c>
      <c r="E154" s="27" t="str">
        <f t="shared" si="12"/>
        <v/>
      </c>
      <c r="F154" s="28" t="str">
        <f t="shared" si="13"/>
        <v/>
      </c>
      <c r="G154" s="27" t="str">
        <f t="shared" si="14"/>
        <v/>
      </c>
    </row>
    <row r="155" spans="3:7" x14ac:dyDescent="0.3">
      <c r="C155" s="26" t="str">
        <f t="shared" si="11"/>
        <v/>
      </c>
      <c r="D155" s="27" t="str">
        <f t="shared" si="10"/>
        <v/>
      </c>
      <c r="E155" s="27" t="str">
        <f t="shared" si="12"/>
        <v/>
      </c>
      <c r="F155" s="28" t="str">
        <f t="shared" si="13"/>
        <v/>
      </c>
      <c r="G155" s="27" t="str">
        <f t="shared" si="14"/>
        <v/>
      </c>
    </row>
    <row r="156" spans="3:7" x14ac:dyDescent="0.3">
      <c r="C156" s="26" t="str">
        <f t="shared" si="11"/>
        <v/>
      </c>
      <c r="D156" s="27" t="str">
        <f t="shared" si="10"/>
        <v/>
      </c>
      <c r="E156" s="27" t="str">
        <f t="shared" si="12"/>
        <v/>
      </c>
      <c r="F156" s="28" t="str">
        <f t="shared" si="13"/>
        <v/>
      </c>
      <c r="G156" s="27" t="str">
        <f t="shared" si="14"/>
        <v/>
      </c>
    </row>
    <row r="157" spans="3:7" x14ac:dyDescent="0.3">
      <c r="C157" s="26" t="str">
        <f t="shared" si="11"/>
        <v/>
      </c>
      <c r="D157" s="27" t="str">
        <f t="shared" si="10"/>
        <v/>
      </c>
      <c r="E157" s="27" t="str">
        <f t="shared" si="12"/>
        <v/>
      </c>
      <c r="F157" s="28" t="str">
        <f t="shared" si="13"/>
        <v/>
      </c>
      <c r="G157" s="27" t="str">
        <f t="shared" si="14"/>
        <v/>
      </c>
    </row>
    <row r="158" spans="3:7" x14ac:dyDescent="0.3">
      <c r="C158" s="26" t="str">
        <f t="shared" si="11"/>
        <v/>
      </c>
      <c r="D158" s="27" t="str">
        <f t="shared" si="10"/>
        <v/>
      </c>
      <c r="E158" s="27" t="str">
        <f t="shared" si="12"/>
        <v/>
      </c>
      <c r="F158" s="28" t="str">
        <f t="shared" si="13"/>
        <v/>
      </c>
      <c r="G158" s="27" t="str">
        <f t="shared" si="14"/>
        <v/>
      </c>
    </row>
    <row r="159" spans="3:7" x14ac:dyDescent="0.3">
      <c r="C159" s="26" t="str">
        <f t="shared" si="11"/>
        <v/>
      </c>
      <c r="D159" s="27" t="str">
        <f t="shared" si="10"/>
        <v/>
      </c>
      <c r="E159" s="27" t="str">
        <f t="shared" si="12"/>
        <v/>
      </c>
      <c r="F159" s="28" t="str">
        <f t="shared" si="13"/>
        <v/>
      </c>
      <c r="G159" s="27" t="str">
        <f t="shared" si="14"/>
        <v/>
      </c>
    </row>
    <row r="160" spans="3:7" x14ac:dyDescent="0.3">
      <c r="C160" s="26" t="str">
        <f t="shared" si="11"/>
        <v/>
      </c>
      <c r="D160" s="27" t="str">
        <f t="shared" si="10"/>
        <v/>
      </c>
      <c r="E160" s="27" t="str">
        <f t="shared" si="12"/>
        <v/>
      </c>
      <c r="F160" s="28" t="str">
        <f t="shared" si="13"/>
        <v/>
      </c>
      <c r="G160" s="27" t="str">
        <f t="shared" si="14"/>
        <v/>
      </c>
    </row>
    <row r="161" spans="3:7" x14ac:dyDescent="0.3">
      <c r="C161" s="26" t="str">
        <f t="shared" si="11"/>
        <v/>
      </c>
      <c r="D161" s="27" t="str">
        <f t="shared" si="10"/>
        <v/>
      </c>
      <c r="E161" s="27" t="str">
        <f t="shared" si="12"/>
        <v/>
      </c>
      <c r="F161" s="28" t="str">
        <f t="shared" si="13"/>
        <v/>
      </c>
      <c r="G161" s="27" t="str">
        <f t="shared" si="14"/>
        <v/>
      </c>
    </row>
    <row r="162" spans="3:7" x14ac:dyDescent="0.3">
      <c r="C162" s="26" t="str">
        <f t="shared" si="11"/>
        <v/>
      </c>
      <c r="D162" s="27" t="str">
        <f t="shared" si="10"/>
        <v/>
      </c>
      <c r="E162" s="27" t="str">
        <f t="shared" si="12"/>
        <v/>
      </c>
      <c r="F162" s="28" t="str">
        <f t="shared" si="13"/>
        <v/>
      </c>
      <c r="G162" s="27" t="str">
        <f t="shared" si="14"/>
        <v/>
      </c>
    </row>
    <row r="163" spans="3:7" x14ac:dyDescent="0.3">
      <c r="C163" s="26" t="str">
        <f t="shared" si="11"/>
        <v/>
      </c>
      <c r="D163" s="27" t="str">
        <f t="shared" si="10"/>
        <v/>
      </c>
      <c r="E163" s="27" t="str">
        <f t="shared" si="12"/>
        <v/>
      </c>
      <c r="F163" s="28" t="str">
        <f t="shared" si="13"/>
        <v/>
      </c>
      <c r="G163" s="27" t="str">
        <f t="shared" si="14"/>
        <v/>
      </c>
    </row>
    <row r="164" spans="3:7" x14ac:dyDescent="0.3">
      <c r="C164" s="26" t="str">
        <f t="shared" si="11"/>
        <v/>
      </c>
      <c r="D164" s="27" t="str">
        <f t="shared" si="10"/>
        <v/>
      </c>
      <c r="E164" s="27" t="str">
        <f t="shared" si="12"/>
        <v/>
      </c>
      <c r="F164" s="28" t="str">
        <f t="shared" si="13"/>
        <v/>
      </c>
      <c r="G164" s="27" t="str">
        <f t="shared" si="14"/>
        <v/>
      </c>
    </row>
    <row r="165" spans="3:7" x14ac:dyDescent="0.3">
      <c r="C165" s="26" t="str">
        <f t="shared" si="11"/>
        <v/>
      </c>
      <c r="D165" s="27" t="str">
        <f t="shared" si="10"/>
        <v/>
      </c>
      <c r="E165" s="27" t="str">
        <f t="shared" si="12"/>
        <v/>
      </c>
      <c r="F165" s="28" t="str">
        <f t="shared" si="13"/>
        <v/>
      </c>
      <c r="G165" s="27" t="str">
        <f t="shared" si="14"/>
        <v/>
      </c>
    </row>
    <row r="166" spans="3:7" x14ac:dyDescent="0.3">
      <c r="C166" s="26" t="str">
        <f t="shared" si="11"/>
        <v/>
      </c>
      <c r="D166" s="27" t="str">
        <f t="shared" si="10"/>
        <v/>
      </c>
      <c r="E166" s="27" t="str">
        <f t="shared" si="12"/>
        <v/>
      </c>
      <c r="F166" s="28" t="str">
        <f t="shared" si="13"/>
        <v/>
      </c>
      <c r="G166" s="27" t="str">
        <f t="shared" si="14"/>
        <v/>
      </c>
    </row>
    <row r="167" spans="3:7" x14ac:dyDescent="0.3">
      <c r="C167" s="26" t="str">
        <f t="shared" si="11"/>
        <v/>
      </c>
      <c r="D167" s="27" t="str">
        <f t="shared" si="10"/>
        <v/>
      </c>
      <c r="E167" s="27" t="str">
        <f t="shared" si="12"/>
        <v/>
      </c>
      <c r="F167" s="28" t="str">
        <f t="shared" si="13"/>
        <v/>
      </c>
      <c r="G167" s="27" t="str">
        <f t="shared" si="14"/>
        <v/>
      </c>
    </row>
    <row r="168" spans="3:7" x14ac:dyDescent="0.3">
      <c r="C168" s="26" t="str">
        <f t="shared" si="11"/>
        <v/>
      </c>
      <c r="D168" s="27" t="str">
        <f t="shared" si="10"/>
        <v/>
      </c>
      <c r="E168" s="27" t="str">
        <f t="shared" si="12"/>
        <v/>
      </c>
      <c r="F168" s="28" t="str">
        <f t="shared" si="13"/>
        <v/>
      </c>
      <c r="G168" s="27" t="str">
        <f t="shared" si="14"/>
        <v/>
      </c>
    </row>
    <row r="169" spans="3:7" x14ac:dyDescent="0.3">
      <c r="C169" s="26" t="str">
        <f t="shared" si="11"/>
        <v/>
      </c>
      <c r="D169" s="27" t="str">
        <f t="shared" si="10"/>
        <v/>
      </c>
      <c r="E169" s="27" t="str">
        <f t="shared" si="12"/>
        <v/>
      </c>
      <c r="F169" s="28" t="str">
        <f t="shared" si="13"/>
        <v/>
      </c>
      <c r="G169" s="27" t="str">
        <f t="shared" si="14"/>
        <v/>
      </c>
    </row>
    <row r="170" spans="3:7" x14ac:dyDescent="0.3">
      <c r="C170" s="26" t="str">
        <f t="shared" si="11"/>
        <v/>
      </c>
      <c r="D170" s="27" t="str">
        <f t="shared" si="10"/>
        <v/>
      </c>
      <c r="E170" s="27" t="str">
        <f t="shared" si="12"/>
        <v/>
      </c>
      <c r="F170" s="28" t="str">
        <f t="shared" si="13"/>
        <v/>
      </c>
      <c r="G170" s="27" t="str">
        <f t="shared" si="14"/>
        <v/>
      </c>
    </row>
    <row r="171" spans="3:7" x14ac:dyDescent="0.3">
      <c r="C171" s="26" t="str">
        <f t="shared" si="11"/>
        <v/>
      </c>
      <c r="D171" s="27" t="str">
        <f t="shared" si="10"/>
        <v/>
      </c>
      <c r="E171" s="27" t="str">
        <f t="shared" si="12"/>
        <v/>
      </c>
      <c r="F171" s="28" t="str">
        <f t="shared" si="13"/>
        <v/>
      </c>
      <c r="G171" s="27" t="str">
        <f t="shared" si="14"/>
        <v/>
      </c>
    </row>
    <row r="172" spans="3:7" x14ac:dyDescent="0.3">
      <c r="C172" s="26" t="str">
        <f t="shared" si="11"/>
        <v/>
      </c>
      <c r="D172" s="27" t="str">
        <f t="shared" si="10"/>
        <v/>
      </c>
      <c r="E172" s="27" t="str">
        <f t="shared" si="12"/>
        <v/>
      </c>
      <c r="F172" s="28" t="str">
        <f t="shared" si="13"/>
        <v/>
      </c>
      <c r="G172" s="27" t="str">
        <f t="shared" si="14"/>
        <v/>
      </c>
    </row>
    <row r="173" spans="3:7" x14ac:dyDescent="0.3">
      <c r="C173" s="26" t="str">
        <f t="shared" si="11"/>
        <v/>
      </c>
      <c r="D173" s="27" t="str">
        <f t="shared" si="10"/>
        <v/>
      </c>
      <c r="E173" s="27" t="str">
        <f t="shared" si="12"/>
        <v/>
      </c>
      <c r="F173" s="28" t="str">
        <f t="shared" si="13"/>
        <v/>
      </c>
      <c r="G173" s="27" t="str">
        <f t="shared" si="14"/>
        <v/>
      </c>
    </row>
    <row r="174" spans="3:7" x14ac:dyDescent="0.3">
      <c r="C174" s="26" t="str">
        <f t="shared" si="11"/>
        <v/>
      </c>
      <c r="D174" s="27" t="str">
        <f t="shared" si="10"/>
        <v/>
      </c>
      <c r="E174" s="27" t="str">
        <f t="shared" si="12"/>
        <v/>
      </c>
      <c r="F174" s="28" t="str">
        <f t="shared" si="13"/>
        <v/>
      </c>
      <c r="G174" s="27" t="str">
        <f t="shared" si="14"/>
        <v/>
      </c>
    </row>
    <row r="175" spans="3:7" x14ac:dyDescent="0.3">
      <c r="C175" s="26" t="str">
        <f t="shared" si="11"/>
        <v/>
      </c>
      <c r="D175" s="27" t="str">
        <f t="shared" si="10"/>
        <v/>
      </c>
      <c r="E175" s="27" t="str">
        <f t="shared" si="12"/>
        <v/>
      </c>
      <c r="F175" s="28" t="str">
        <f t="shared" si="13"/>
        <v/>
      </c>
      <c r="G175" s="27" t="str">
        <f t="shared" si="14"/>
        <v/>
      </c>
    </row>
    <row r="176" spans="3:7" x14ac:dyDescent="0.3">
      <c r="C176" s="26" t="str">
        <f t="shared" si="11"/>
        <v/>
      </c>
      <c r="D176" s="27" t="str">
        <f t="shared" si="10"/>
        <v/>
      </c>
      <c r="E176" s="27" t="str">
        <f t="shared" si="12"/>
        <v/>
      </c>
      <c r="F176" s="28" t="str">
        <f t="shared" si="13"/>
        <v/>
      </c>
      <c r="G176" s="27" t="str">
        <f t="shared" si="14"/>
        <v/>
      </c>
    </row>
    <row r="177" spans="3:7" x14ac:dyDescent="0.3">
      <c r="C177" s="26" t="str">
        <f t="shared" si="11"/>
        <v/>
      </c>
      <c r="D177" s="27" t="str">
        <f t="shared" si="10"/>
        <v/>
      </c>
      <c r="E177" s="27" t="str">
        <f t="shared" si="12"/>
        <v/>
      </c>
      <c r="F177" s="28" t="str">
        <f t="shared" si="13"/>
        <v/>
      </c>
      <c r="G177" s="27" t="str">
        <f t="shared" si="14"/>
        <v/>
      </c>
    </row>
    <row r="178" spans="3:7" x14ac:dyDescent="0.3">
      <c r="C178" s="26" t="str">
        <f t="shared" si="11"/>
        <v/>
      </c>
      <c r="D178" s="27" t="str">
        <f t="shared" si="10"/>
        <v/>
      </c>
      <c r="E178" s="27" t="str">
        <f t="shared" si="12"/>
        <v/>
      </c>
      <c r="F178" s="28" t="str">
        <f t="shared" si="13"/>
        <v/>
      </c>
      <c r="G178" s="27" t="str">
        <f t="shared" si="14"/>
        <v/>
      </c>
    </row>
    <row r="179" spans="3:7" x14ac:dyDescent="0.3">
      <c r="C179" s="26" t="str">
        <f t="shared" si="11"/>
        <v/>
      </c>
      <c r="D179" s="27" t="str">
        <f t="shared" si="10"/>
        <v/>
      </c>
      <c r="E179" s="27" t="str">
        <f t="shared" si="12"/>
        <v/>
      </c>
      <c r="F179" s="28" t="str">
        <f t="shared" si="13"/>
        <v/>
      </c>
      <c r="G179" s="27" t="str">
        <f t="shared" si="14"/>
        <v/>
      </c>
    </row>
    <row r="180" spans="3:7" x14ac:dyDescent="0.3">
      <c r="C180" s="26" t="str">
        <f t="shared" si="11"/>
        <v/>
      </c>
      <c r="D180" s="27" t="str">
        <f t="shared" si="10"/>
        <v/>
      </c>
      <c r="E180" s="27" t="str">
        <f t="shared" si="12"/>
        <v/>
      </c>
      <c r="F180" s="28" t="str">
        <f t="shared" si="13"/>
        <v/>
      </c>
      <c r="G180" s="27" t="str">
        <f t="shared" si="14"/>
        <v/>
      </c>
    </row>
    <row r="181" spans="3:7" x14ac:dyDescent="0.3">
      <c r="C181" s="26" t="str">
        <f t="shared" si="11"/>
        <v/>
      </c>
      <c r="D181" s="27" t="str">
        <f t="shared" si="10"/>
        <v/>
      </c>
      <c r="E181" s="27" t="str">
        <f t="shared" si="12"/>
        <v/>
      </c>
      <c r="F181" s="28" t="str">
        <f t="shared" si="13"/>
        <v/>
      </c>
      <c r="G181" s="27" t="str">
        <f t="shared" si="14"/>
        <v/>
      </c>
    </row>
    <row r="182" spans="3:7" x14ac:dyDescent="0.3">
      <c r="C182" s="26" t="str">
        <f t="shared" si="11"/>
        <v/>
      </c>
      <c r="D182" s="27" t="str">
        <f t="shared" si="10"/>
        <v/>
      </c>
      <c r="E182" s="27" t="str">
        <f t="shared" si="12"/>
        <v/>
      </c>
      <c r="F182" s="28" t="str">
        <f t="shared" si="13"/>
        <v/>
      </c>
      <c r="G182" s="27" t="str">
        <f t="shared" si="14"/>
        <v/>
      </c>
    </row>
    <row r="183" spans="3:7" x14ac:dyDescent="0.3">
      <c r="C183" s="26" t="str">
        <f t="shared" si="11"/>
        <v/>
      </c>
      <c r="D183" s="27" t="str">
        <f t="shared" si="10"/>
        <v/>
      </c>
      <c r="E183" s="27" t="str">
        <f t="shared" si="12"/>
        <v/>
      </c>
      <c r="F183" s="28" t="str">
        <f t="shared" si="13"/>
        <v/>
      </c>
      <c r="G183" s="27" t="str">
        <f t="shared" si="14"/>
        <v/>
      </c>
    </row>
    <row r="184" spans="3:7" x14ac:dyDescent="0.3">
      <c r="C184" s="26" t="str">
        <f t="shared" si="11"/>
        <v/>
      </c>
      <c r="D184" s="27" t="str">
        <f t="shared" si="10"/>
        <v/>
      </c>
      <c r="E184" s="27" t="str">
        <f t="shared" si="12"/>
        <v/>
      </c>
      <c r="F184" s="28" t="str">
        <f t="shared" si="13"/>
        <v/>
      </c>
      <c r="G184" s="27" t="str">
        <f t="shared" si="14"/>
        <v/>
      </c>
    </row>
    <row r="185" spans="3:7" x14ac:dyDescent="0.3">
      <c r="C185" s="26" t="str">
        <f t="shared" si="11"/>
        <v/>
      </c>
      <c r="D185" s="27" t="str">
        <f t="shared" si="10"/>
        <v/>
      </c>
      <c r="E185" s="27" t="str">
        <f t="shared" si="12"/>
        <v/>
      </c>
      <c r="F185" s="28" t="str">
        <f t="shared" si="13"/>
        <v/>
      </c>
      <c r="G185" s="27" t="str">
        <f t="shared" si="14"/>
        <v/>
      </c>
    </row>
    <row r="186" spans="3:7" x14ac:dyDescent="0.3">
      <c r="C186" s="26" t="str">
        <f t="shared" si="11"/>
        <v/>
      </c>
      <c r="D186" s="27" t="str">
        <f t="shared" si="10"/>
        <v/>
      </c>
      <c r="E186" s="27" t="str">
        <f t="shared" si="12"/>
        <v/>
      </c>
      <c r="F186" s="28" t="str">
        <f t="shared" si="13"/>
        <v/>
      </c>
      <c r="G186" s="27" t="str">
        <f t="shared" si="14"/>
        <v/>
      </c>
    </row>
    <row r="187" spans="3:7" x14ac:dyDescent="0.3">
      <c r="C187" s="26" t="str">
        <f t="shared" si="11"/>
        <v/>
      </c>
      <c r="D187" s="27" t="str">
        <f t="shared" si="10"/>
        <v/>
      </c>
      <c r="E187" s="27" t="str">
        <f t="shared" si="12"/>
        <v/>
      </c>
      <c r="F187" s="28" t="str">
        <f t="shared" si="13"/>
        <v/>
      </c>
      <c r="G187" s="27" t="str">
        <f t="shared" si="14"/>
        <v/>
      </c>
    </row>
    <row r="188" spans="3:7" x14ac:dyDescent="0.3">
      <c r="C188" s="26" t="str">
        <f t="shared" si="11"/>
        <v/>
      </c>
      <c r="D188" s="27" t="str">
        <f t="shared" si="10"/>
        <v/>
      </c>
      <c r="E188" s="27" t="str">
        <f t="shared" si="12"/>
        <v/>
      </c>
      <c r="F188" s="28" t="str">
        <f t="shared" si="13"/>
        <v/>
      </c>
      <c r="G188" s="27" t="str">
        <f t="shared" si="14"/>
        <v/>
      </c>
    </row>
    <row r="189" spans="3:7" x14ac:dyDescent="0.3">
      <c r="C189" s="26" t="str">
        <f t="shared" si="11"/>
        <v/>
      </c>
      <c r="D189" s="27" t="str">
        <f t="shared" si="10"/>
        <v/>
      </c>
      <c r="E189" s="27" t="str">
        <f t="shared" si="12"/>
        <v/>
      </c>
      <c r="F189" s="28" t="str">
        <f t="shared" si="13"/>
        <v/>
      </c>
      <c r="G189" s="27" t="str">
        <f t="shared" si="14"/>
        <v/>
      </c>
    </row>
    <row r="190" spans="3:7" x14ac:dyDescent="0.3">
      <c r="C190" s="26" t="str">
        <f t="shared" si="11"/>
        <v/>
      </c>
      <c r="D190" s="27" t="str">
        <f t="shared" si="10"/>
        <v/>
      </c>
      <c r="E190" s="27" t="str">
        <f t="shared" si="12"/>
        <v/>
      </c>
      <c r="F190" s="28" t="str">
        <f t="shared" si="13"/>
        <v/>
      </c>
      <c r="G190" s="27" t="str">
        <f t="shared" si="14"/>
        <v/>
      </c>
    </row>
    <row r="191" spans="3:7" x14ac:dyDescent="0.3">
      <c r="C191" s="26" t="str">
        <f t="shared" si="11"/>
        <v/>
      </c>
      <c r="D191" s="27" t="str">
        <f t="shared" si="10"/>
        <v/>
      </c>
      <c r="E191" s="27" t="str">
        <f t="shared" si="12"/>
        <v/>
      </c>
      <c r="F191" s="28" t="str">
        <f t="shared" si="13"/>
        <v/>
      </c>
      <c r="G191" s="27" t="str">
        <f t="shared" si="14"/>
        <v/>
      </c>
    </row>
    <row r="192" spans="3:7" x14ac:dyDescent="0.3">
      <c r="C192" s="26" t="str">
        <f t="shared" si="11"/>
        <v/>
      </c>
      <c r="D192" s="27" t="str">
        <f t="shared" si="10"/>
        <v/>
      </c>
      <c r="E192" s="27" t="str">
        <f t="shared" si="12"/>
        <v/>
      </c>
      <c r="F192" s="28" t="str">
        <f t="shared" si="13"/>
        <v/>
      </c>
      <c r="G192" s="27" t="str">
        <f t="shared" si="14"/>
        <v/>
      </c>
    </row>
    <row r="193" spans="3:7" x14ac:dyDescent="0.3">
      <c r="C193" s="26" t="str">
        <f t="shared" si="11"/>
        <v/>
      </c>
      <c r="D193" s="27" t="str">
        <f t="shared" si="10"/>
        <v/>
      </c>
      <c r="E193" s="27" t="str">
        <f t="shared" si="12"/>
        <v/>
      </c>
      <c r="F193" s="28" t="str">
        <f t="shared" si="13"/>
        <v/>
      </c>
      <c r="G193" s="27" t="str">
        <f t="shared" si="14"/>
        <v/>
      </c>
    </row>
    <row r="194" spans="3:7" x14ac:dyDescent="0.3">
      <c r="C194" s="26" t="str">
        <f t="shared" si="11"/>
        <v/>
      </c>
      <c r="D194" s="27" t="str">
        <f t="shared" si="10"/>
        <v/>
      </c>
      <c r="E194" s="27" t="str">
        <f t="shared" si="12"/>
        <v/>
      </c>
      <c r="F194" s="28" t="str">
        <f t="shared" si="13"/>
        <v/>
      </c>
      <c r="G194" s="27" t="str">
        <f t="shared" si="14"/>
        <v/>
      </c>
    </row>
    <row r="195" spans="3:7" x14ac:dyDescent="0.3">
      <c r="C195" s="26" t="str">
        <f t="shared" si="11"/>
        <v/>
      </c>
      <c r="D195" s="27" t="str">
        <f t="shared" si="10"/>
        <v/>
      </c>
      <c r="E195" s="27" t="str">
        <f t="shared" si="12"/>
        <v/>
      </c>
      <c r="F195" s="28" t="str">
        <f t="shared" si="13"/>
        <v/>
      </c>
      <c r="G195" s="27" t="str">
        <f t="shared" si="14"/>
        <v/>
      </c>
    </row>
    <row r="196" spans="3:7" x14ac:dyDescent="0.3">
      <c r="C196" s="26" t="str">
        <f t="shared" si="11"/>
        <v/>
      </c>
      <c r="D196" s="27" t="str">
        <f t="shared" si="10"/>
        <v/>
      </c>
      <c r="E196" s="27" t="str">
        <f t="shared" si="12"/>
        <v/>
      </c>
      <c r="F196" s="28" t="str">
        <f t="shared" si="13"/>
        <v/>
      </c>
      <c r="G196" s="27" t="str">
        <f t="shared" si="14"/>
        <v/>
      </c>
    </row>
    <row r="197" spans="3:7" x14ac:dyDescent="0.3">
      <c r="C197" s="26" t="str">
        <f t="shared" si="11"/>
        <v/>
      </c>
      <c r="D197" s="27" t="str">
        <f t="shared" si="10"/>
        <v/>
      </c>
      <c r="E197" s="27" t="str">
        <f t="shared" si="12"/>
        <v/>
      </c>
      <c r="F197" s="28" t="str">
        <f t="shared" si="13"/>
        <v/>
      </c>
      <c r="G197" s="27" t="str">
        <f t="shared" si="14"/>
        <v/>
      </c>
    </row>
    <row r="198" spans="3:7" x14ac:dyDescent="0.3">
      <c r="C198" s="26" t="str">
        <f t="shared" si="11"/>
        <v/>
      </c>
      <c r="D198" s="27" t="str">
        <f t="shared" si="10"/>
        <v/>
      </c>
      <c r="E198" s="27" t="str">
        <f t="shared" si="12"/>
        <v/>
      </c>
      <c r="F198" s="28" t="str">
        <f t="shared" si="13"/>
        <v/>
      </c>
      <c r="G198" s="27" t="str">
        <f t="shared" si="14"/>
        <v/>
      </c>
    </row>
    <row r="199" spans="3:7" x14ac:dyDescent="0.3">
      <c r="C199" s="26" t="str">
        <f t="shared" si="11"/>
        <v/>
      </c>
      <c r="D199" s="27" t="str">
        <f t="shared" si="10"/>
        <v/>
      </c>
      <c r="E199" s="27" t="str">
        <f t="shared" si="12"/>
        <v/>
      </c>
      <c r="F199" s="28" t="str">
        <f t="shared" si="13"/>
        <v/>
      </c>
      <c r="G199" s="27" t="str">
        <f t="shared" si="14"/>
        <v/>
      </c>
    </row>
    <row r="200" spans="3:7" x14ac:dyDescent="0.3">
      <c r="C200" s="26" t="str">
        <f t="shared" si="11"/>
        <v/>
      </c>
      <c r="D200" s="27" t="str">
        <f t="shared" si="10"/>
        <v/>
      </c>
      <c r="E200" s="27" t="str">
        <f t="shared" si="12"/>
        <v/>
      </c>
      <c r="F200" s="28" t="str">
        <f t="shared" si="13"/>
        <v/>
      </c>
      <c r="G200" s="27" t="str">
        <f t="shared" si="14"/>
        <v/>
      </c>
    </row>
    <row r="201" spans="3:7" x14ac:dyDescent="0.3">
      <c r="C201" s="26" t="str">
        <f t="shared" si="11"/>
        <v/>
      </c>
      <c r="D201" s="27" t="str">
        <f t="shared" si="10"/>
        <v/>
      </c>
      <c r="E201" s="27" t="str">
        <f t="shared" si="12"/>
        <v/>
      </c>
      <c r="F201" s="28" t="str">
        <f t="shared" si="13"/>
        <v/>
      </c>
      <c r="G201" s="27" t="str">
        <f t="shared" si="14"/>
        <v/>
      </c>
    </row>
    <row r="202" spans="3:7" x14ac:dyDescent="0.3">
      <c r="C202" s="26" t="str">
        <f t="shared" si="11"/>
        <v/>
      </c>
      <c r="D202" s="27" t="str">
        <f t="shared" si="10"/>
        <v/>
      </c>
      <c r="E202" s="27" t="str">
        <f t="shared" si="12"/>
        <v/>
      </c>
      <c r="F202" s="28" t="str">
        <f t="shared" si="13"/>
        <v/>
      </c>
      <c r="G202" s="27" t="str">
        <f t="shared" si="14"/>
        <v/>
      </c>
    </row>
    <row r="203" spans="3:7" x14ac:dyDescent="0.3">
      <c r="C203" s="26" t="str">
        <f t="shared" si="11"/>
        <v/>
      </c>
      <c r="D203" s="27" t="str">
        <f t="shared" si="10"/>
        <v/>
      </c>
      <c r="E203" s="27" t="str">
        <f t="shared" si="12"/>
        <v/>
      </c>
      <c r="F203" s="28" t="str">
        <f t="shared" si="13"/>
        <v/>
      </c>
      <c r="G203" s="27" t="str">
        <f t="shared" si="14"/>
        <v/>
      </c>
    </row>
    <row r="204" spans="3:7" x14ac:dyDescent="0.3">
      <c r="C204" s="26" t="str">
        <f t="shared" si="11"/>
        <v/>
      </c>
      <c r="D204" s="27" t="str">
        <f t="shared" si="10"/>
        <v/>
      </c>
      <c r="E204" s="27" t="str">
        <f t="shared" si="12"/>
        <v/>
      </c>
      <c r="F204" s="28" t="str">
        <f t="shared" si="13"/>
        <v/>
      </c>
      <c r="G204" s="27" t="str">
        <f t="shared" si="14"/>
        <v/>
      </c>
    </row>
    <row r="205" spans="3:7" x14ac:dyDescent="0.3">
      <c r="C205" s="26" t="str">
        <f t="shared" si="11"/>
        <v/>
      </c>
      <c r="D205" s="27" t="str">
        <f t="shared" si="10"/>
        <v/>
      </c>
      <c r="E205" s="27" t="str">
        <f t="shared" si="12"/>
        <v/>
      </c>
      <c r="F205" s="28" t="str">
        <f t="shared" si="13"/>
        <v/>
      </c>
      <c r="G205" s="27" t="str">
        <f t="shared" si="14"/>
        <v/>
      </c>
    </row>
    <row r="206" spans="3:7" x14ac:dyDescent="0.3">
      <c r="C206" s="26" t="str">
        <f t="shared" si="11"/>
        <v/>
      </c>
      <c r="D206" s="27" t="str">
        <f t="shared" ref="D206:D269" si="15">IF(C206&gt;$D$9,"",PMT($D$7,$D$9,$D$3)*-1)</f>
        <v/>
      </c>
      <c r="E206" s="27" t="str">
        <f t="shared" si="12"/>
        <v/>
      </c>
      <c r="F206" s="28" t="str">
        <f t="shared" si="13"/>
        <v/>
      </c>
      <c r="G206" s="27" t="str">
        <f t="shared" si="14"/>
        <v/>
      </c>
    </row>
    <row r="207" spans="3:7" x14ac:dyDescent="0.3">
      <c r="C207" s="26" t="str">
        <f t="shared" ref="C207:C270" si="16">IF(OR(C206=$D$9,C206=""),"",IF(ISNUMBER(C206),C206+1,1))</f>
        <v/>
      </c>
      <c r="D207" s="27" t="str">
        <f t="shared" si="15"/>
        <v/>
      </c>
      <c r="E207" s="27" t="str">
        <f t="shared" ref="E207:E270" si="17">IF(C207&gt;$D$9,"",$D$7*G206)</f>
        <v/>
      </c>
      <c r="F207" s="28" t="str">
        <f t="shared" ref="F207:F270" si="18">IF(C207&gt;$D$9,"",D207-E207)</f>
        <v/>
      </c>
      <c r="G207" s="27" t="str">
        <f t="shared" ref="G207:G270" si="19">IF(C207&gt;$D$9,"",G206-F207)</f>
        <v/>
      </c>
    </row>
    <row r="208" spans="3:7" x14ac:dyDescent="0.3">
      <c r="C208" s="26" t="str">
        <f t="shared" si="16"/>
        <v/>
      </c>
      <c r="D208" s="27" t="str">
        <f t="shared" si="15"/>
        <v/>
      </c>
      <c r="E208" s="27" t="str">
        <f t="shared" si="17"/>
        <v/>
      </c>
      <c r="F208" s="28" t="str">
        <f t="shared" si="18"/>
        <v/>
      </c>
      <c r="G208" s="27" t="str">
        <f t="shared" si="19"/>
        <v/>
      </c>
    </row>
    <row r="209" spans="3:7" x14ac:dyDescent="0.3">
      <c r="C209" s="26" t="str">
        <f t="shared" si="16"/>
        <v/>
      </c>
      <c r="D209" s="27" t="str">
        <f t="shared" si="15"/>
        <v/>
      </c>
      <c r="E209" s="27" t="str">
        <f t="shared" si="17"/>
        <v/>
      </c>
      <c r="F209" s="28" t="str">
        <f t="shared" si="18"/>
        <v/>
      </c>
      <c r="G209" s="27" t="str">
        <f t="shared" si="19"/>
        <v/>
      </c>
    </row>
    <row r="210" spans="3:7" x14ac:dyDescent="0.3">
      <c r="C210" s="26" t="str">
        <f t="shared" si="16"/>
        <v/>
      </c>
      <c r="D210" s="27" t="str">
        <f t="shared" si="15"/>
        <v/>
      </c>
      <c r="E210" s="27" t="str">
        <f t="shared" si="17"/>
        <v/>
      </c>
      <c r="F210" s="28" t="str">
        <f t="shared" si="18"/>
        <v/>
      </c>
      <c r="G210" s="27" t="str">
        <f t="shared" si="19"/>
        <v/>
      </c>
    </row>
    <row r="211" spans="3:7" x14ac:dyDescent="0.3">
      <c r="C211" s="26" t="str">
        <f t="shared" si="16"/>
        <v/>
      </c>
      <c r="D211" s="27" t="str">
        <f t="shared" si="15"/>
        <v/>
      </c>
      <c r="E211" s="27" t="str">
        <f t="shared" si="17"/>
        <v/>
      </c>
      <c r="F211" s="28" t="str">
        <f t="shared" si="18"/>
        <v/>
      </c>
      <c r="G211" s="27" t="str">
        <f t="shared" si="19"/>
        <v/>
      </c>
    </row>
    <row r="212" spans="3:7" x14ac:dyDescent="0.3">
      <c r="C212" s="26" t="str">
        <f t="shared" si="16"/>
        <v/>
      </c>
      <c r="D212" s="27" t="str">
        <f t="shared" si="15"/>
        <v/>
      </c>
      <c r="E212" s="27" t="str">
        <f t="shared" si="17"/>
        <v/>
      </c>
      <c r="F212" s="28" t="str">
        <f t="shared" si="18"/>
        <v/>
      </c>
      <c r="G212" s="27" t="str">
        <f t="shared" si="19"/>
        <v/>
      </c>
    </row>
    <row r="213" spans="3:7" x14ac:dyDescent="0.3">
      <c r="C213" s="26" t="str">
        <f t="shared" si="16"/>
        <v/>
      </c>
      <c r="D213" s="27" t="str">
        <f t="shared" si="15"/>
        <v/>
      </c>
      <c r="E213" s="27" t="str">
        <f t="shared" si="17"/>
        <v/>
      </c>
      <c r="F213" s="28" t="str">
        <f t="shared" si="18"/>
        <v/>
      </c>
      <c r="G213" s="27" t="str">
        <f t="shared" si="19"/>
        <v/>
      </c>
    </row>
    <row r="214" spans="3:7" x14ac:dyDescent="0.3">
      <c r="C214" s="26" t="str">
        <f t="shared" si="16"/>
        <v/>
      </c>
      <c r="D214" s="27" t="str">
        <f t="shared" si="15"/>
        <v/>
      </c>
      <c r="E214" s="27" t="str">
        <f t="shared" si="17"/>
        <v/>
      </c>
      <c r="F214" s="28" t="str">
        <f t="shared" si="18"/>
        <v/>
      </c>
      <c r="G214" s="27" t="str">
        <f t="shared" si="19"/>
        <v/>
      </c>
    </row>
    <row r="215" spans="3:7" x14ac:dyDescent="0.3">
      <c r="C215" s="26" t="str">
        <f t="shared" si="16"/>
        <v/>
      </c>
      <c r="D215" s="27" t="str">
        <f t="shared" si="15"/>
        <v/>
      </c>
      <c r="E215" s="27" t="str">
        <f t="shared" si="17"/>
        <v/>
      </c>
      <c r="F215" s="28" t="str">
        <f t="shared" si="18"/>
        <v/>
      </c>
      <c r="G215" s="27" t="str">
        <f t="shared" si="19"/>
        <v/>
      </c>
    </row>
    <row r="216" spans="3:7" x14ac:dyDescent="0.3">
      <c r="C216" s="26" t="str">
        <f t="shared" si="16"/>
        <v/>
      </c>
      <c r="D216" s="27" t="str">
        <f t="shared" si="15"/>
        <v/>
      </c>
      <c r="E216" s="27" t="str">
        <f t="shared" si="17"/>
        <v/>
      </c>
      <c r="F216" s="28" t="str">
        <f t="shared" si="18"/>
        <v/>
      </c>
      <c r="G216" s="27" t="str">
        <f t="shared" si="19"/>
        <v/>
      </c>
    </row>
    <row r="217" spans="3:7" x14ac:dyDescent="0.3">
      <c r="C217" s="26" t="str">
        <f t="shared" si="16"/>
        <v/>
      </c>
      <c r="D217" s="27" t="str">
        <f t="shared" si="15"/>
        <v/>
      </c>
      <c r="E217" s="27" t="str">
        <f t="shared" si="17"/>
        <v/>
      </c>
      <c r="F217" s="28" t="str">
        <f t="shared" si="18"/>
        <v/>
      </c>
      <c r="G217" s="27" t="str">
        <f t="shared" si="19"/>
        <v/>
      </c>
    </row>
    <row r="218" spans="3:7" x14ac:dyDescent="0.3">
      <c r="C218" s="26" t="str">
        <f t="shared" si="16"/>
        <v/>
      </c>
      <c r="D218" s="27" t="str">
        <f t="shared" si="15"/>
        <v/>
      </c>
      <c r="E218" s="27" t="str">
        <f t="shared" si="17"/>
        <v/>
      </c>
      <c r="F218" s="28" t="str">
        <f t="shared" si="18"/>
        <v/>
      </c>
      <c r="G218" s="27" t="str">
        <f t="shared" si="19"/>
        <v/>
      </c>
    </row>
    <row r="219" spans="3:7" x14ac:dyDescent="0.3">
      <c r="C219" s="26" t="str">
        <f t="shared" si="16"/>
        <v/>
      </c>
      <c r="D219" s="27" t="str">
        <f t="shared" si="15"/>
        <v/>
      </c>
      <c r="E219" s="27" t="str">
        <f t="shared" si="17"/>
        <v/>
      </c>
      <c r="F219" s="28" t="str">
        <f t="shared" si="18"/>
        <v/>
      </c>
      <c r="G219" s="27" t="str">
        <f t="shared" si="19"/>
        <v/>
      </c>
    </row>
    <row r="220" spans="3:7" x14ac:dyDescent="0.3">
      <c r="C220" s="26" t="str">
        <f t="shared" si="16"/>
        <v/>
      </c>
      <c r="D220" s="27" t="str">
        <f t="shared" si="15"/>
        <v/>
      </c>
      <c r="E220" s="27" t="str">
        <f t="shared" si="17"/>
        <v/>
      </c>
      <c r="F220" s="28" t="str">
        <f t="shared" si="18"/>
        <v/>
      </c>
      <c r="G220" s="27" t="str">
        <f t="shared" si="19"/>
        <v/>
      </c>
    </row>
    <row r="221" spans="3:7" x14ac:dyDescent="0.3">
      <c r="C221" s="26" t="str">
        <f t="shared" si="16"/>
        <v/>
      </c>
      <c r="D221" s="27" t="str">
        <f t="shared" si="15"/>
        <v/>
      </c>
      <c r="E221" s="27" t="str">
        <f t="shared" si="17"/>
        <v/>
      </c>
      <c r="F221" s="28" t="str">
        <f t="shared" si="18"/>
        <v/>
      </c>
      <c r="G221" s="27" t="str">
        <f t="shared" si="19"/>
        <v/>
      </c>
    </row>
    <row r="222" spans="3:7" x14ac:dyDescent="0.3">
      <c r="C222" s="26" t="str">
        <f t="shared" si="16"/>
        <v/>
      </c>
      <c r="D222" s="27" t="str">
        <f t="shared" si="15"/>
        <v/>
      </c>
      <c r="E222" s="27" t="str">
        <f t="shared" si="17"/>
        <v/>
      </c>
      <c r="F222" s="28" t="str">
        <f t="shared" si="18"/>
        <v/>
      </c>
      <c r="G222" s="27" t="str">
        <f t="shared" si="19"/>
        <v/>
      </c>
    </row>
    <row r="223" spans="3:7" x14ac:dyDescent="0.3">
      <c r="C223" s="26" t="str">
        <f t="shared" si="16"/>
        <v/>
      </c>
      <c r="D223" s="27" t="str">
        <f t="shared" si="15"/>
        <v/>
      </c>
      <c r="E223" s="27" t="str">
        <f t="shared" si="17"/>
        <v/>
      </c>
      <c r="F223" s="28" t="str">
        <f t="shared" si="18"/>
        <v/>
      </c>
      <c r="G223" s="27" t="str">
        <f t="shared" si="19"/>
        <v/>
      </c>
    </row>
    <row r="224" spans="3:7" x14ac:dyDescent="0.3">
      <c r="C224" s="26" t="str">
        <f t="shared" si="16"/>
        <v/>
      </c>
      <c r="D224" s="27" t="str">
        <f t="shared" si="15"/>
        <v/>
      </c>
      <c r="E224" s="27" t="str">
        <f t="shared" si="17"/>
        <v/>
      </c>
      <c r="F224" s="28" t="str">
        <f t="shared" si="18"/>
        <v/>
      </c>
      <c r="G224" s="27" t="str">
        <f t="shared" si="19"/>
        <v/>
      </c>
    </row>
    <row r="225" spans="3:7" x14ac:dyDescent="0.3">
      <c r="C225" s="26" t="str">
        <f t="shared" si="16"/>
        <v/>
      </c>
      <c r="D225" s="27" t="str">
        <f t="shared" si="15"/>
        <v/>
      </c>
      <c r="E225" s="27" t="str">
        <f t="shared" si="17"/>
        <v/>
      </c>
      <c r="F225" s="28" t="str">
        <f t="shared" si="18"/>
        <v/>
      </c>
      <c r="G225" s="27" t="str">
        <f t="shared" si="19"/>
        <v/>
      </c>
    </row>
    <row r="226" spans="3:7" x14ac:dyDescent="0.3">
      <c r="C226" s="26" t="str">
        <f t="shared" si="16"/>
        <v/>
      </c>
      <c r="D226" s="27" t="str">
        <f t="shared" si="15"/>
        <v/>
      </c>
      <c r="E226" s="27" t="str">
        <f t="shared" si="17"/>
        <v/>
      </c>
      <c r="F226" s="28" t="str">
        <f t="shared" si="18"/>
        <v/>
      </c>
      <c r="G226" s="27" t="str">
        <f t="shared" si="19"/>
        <v/>
      </c>
    </row>
    <row r="227" spans="3:7" x14ac:dyDescent="0.3">
      <c r="C227" s="26" t="str">
        <f t="shared" si="16"/>
        <v/>
      </c>
      <c r="D227" s="27" t="str">
        <f t="shared" si="15"/>
        <v/>
      </c>
      <c r="E227" s="27" t="str">
        <f t="shared" si="17"/>
        <v/>
      </c>
      <c r="F227" s="28" t="str">
        <f t="shared" si="18"/>
        <v/>
      </c>
      <c r="G227" s="27" t="str">
        <f t="shared" si="19"/>
        <v/>
      </c>
    </row>
    <row r="228" spans="3:7" x14ac:dyDescent="0.3">
      <c r="C228" s="26" t="str">
        <f t="shared" si="16"/>
        <v/>
      </c>
      <c r="D228" s="27" t="str">
        <f t="shared" si="15"/>
        <v/>
      </c>
      <c r="E228" s="27" t="str">
        <f t="shared" si="17"/>
        <v/>
      </c>
      <c r="F228" s="28" t="str">
        <f t="shared" si="18"/>
        <v/>
      </c>
      <c r="G228" s="27" t="str">
        <f t="shared" si="19"/>
        <v/>
      </c>
    </row>
    <row r="229" spans="3:7" x14ac:dyDescent="0.3">
      <c r="C229" s="26" t="str">
        <f t="shared" si="16"/>
        <v/>
      </c>
      <c r="D229" s="27" t="str">
        <f t="shared" si="15"/>
        <v/>
      </c>
      <c r="E229" s="27" t="str">
        <f t="shared" si="17"/>
        <v/>
      </c>
      <c r="F229" s="28" t="str">
        <f t="shared" si="18"/>
        <v/>
      </c>
      <c r="G229" s="27" t="str">
        <f t="shared" si="19"/>
        <v/>
      </c>
    </row>
    <row r="230" spans="3:7" x14ac:dyDescent="0.3">
      <c r="C230" s="26" t="str">
        <f t="shared" si="16"/>
        <v/>
      </c>
      <c r="D230" s="27" t="str">
        <f t="shared" si="15"/>
        <v/>
      </c>
      <c r="E230" s="27" t="str">
        <f t="shared" si="17"/>
        <v/>
      </c>
      <c r="F230" s="28" t="str">
        <f t="shared" si="18"/>
        <v/>
      </c>
      <c r="G230" s="27" t="str">
        <f t="shared" si="19"/>
        <v/>
      </c>
    </row>
    <row r="231" spans="3:7" x14ac:dyDescent="0.3">
      <c r="C231" s="26" t="str">
        <f t="shared" si="16"/>
        <v/>
      </c>
      <c r="D231" s="27" t="str">
        <f t="shared" si="15"/>
        <v/>
      </c>
      <c r="E231" s="27" t="str">
        <f t="shared" si="17"/>
        <v/>
      </c>
      <c r="F231" s="28" t="str">
        <f t="shared" si="18"/>
        <v/>
      </c>
      <c r="G231" s="27" t="str">
        <f t="shared" si="19"/>
        <v/>
      </c>
    </row>
    <row r="232" spans="3:7" x14ac:dyDescent="0.3">
      <c r="C232" s="26" t="str">
        <f t="shared" si="16"/>
        <v/>
      </c>
      <c r="D232" s="27" t="str">
        <f t="shared" si="15"/>
        <v/>
      </c>
      <c r="E232" s="27" t="str">
        <f t="shared" si="17"/>
        <v/>
      </c>
      <c r="F232" s="28" t="str">
        <f t="shared" si="18"/>
        <v/>
      </c>
      <c r="G232" s="27" t="str">
        <f t="shared" si="19"/>
        <v/>
      </c>
    </row>
    <row r="233" spans="3:7" x14ac:dyDescent="0.3">
      <c r="C233" s="26" t="str">
        <f t="shared" si="16"/>
        <v/>
      </c>
      <c r="D233" s="27" t="str">
        <f t="shared" si="15"/>
        <v/>
      </c>
      <c r="E233" s="27" t="str">
        <f t="shared" si="17"/>
        <v/>
      </c>
      <c r="F233" s="28" t="str">
        <f t="shared" si="18"/>
        <v/>
      </c>
      <c r="G233" s="27" t="str">
        <f t="shared" si="19"/>
        <v/>
      </c>
    </row>
    <row r="234" spans="3:7" x14ac:dyDescent="0.3">
      <c r="C234" s="26" t="str">
        <f t="shared" si="16"/>
        <v/>
      </c>
      <c r="D234" s="27" t="str">
        <f t="shared" si="15"/>
        <v/>
      </c>
      <c r="E234" s="27" t="str">
        <f t="shared" si="17"/>
        <v/>
      </c>
      <c r="F234" s="28" t="str">
        <f t="shared" si="18"/>
        <v/>
      </c>
      <c r="G234" s="27" t="str">
        <f t="shared" si="19"/>
        <v/>
      </c>
    </row>
    <row r="235" spans="3:7" x14ac:dyDescent="0.3">
      <c r="C235" s="26" t="str">
        <f t="shared" si="16"/>
        <v/>
      </c>
      <c r="D235" s="27" t="str">
        <f t="shared" si="15"/>
        <v/>
      </c>
      <c r="E235" s="27" t="str">
        <f t="shared" si="17"/>
        <v/>
      </c>
      <c r="F235" s="28" t="str">
        <f t="shared" si="18"/>
        <v/>
      </c>
      <c r="G235" s="27" t="str">
        <f t="shared" si="19"/>
        <v/>
      </c>
    </row>
    <row r="236" spans="3:7" x14ac:dyDescent="0.3">
      <c r="C236" s="26" t="str">
        <f t="shared" si="16"/>
        <v/>
      </c>
      <c r="D236" s="27" t="str">
        <f t="shared" si="15"/>
        <v/>
      </c>
      <c r="E236" s="27" t="str">
        <f t="shared" si="17"/>
        <v/>
      </c>
      <c r="F236" s="28" t="str">
        <f t="shared" si="18"/>
        <v/>
      </c>
      <c r="G236" s="27" t="str">
        <f t="shared" si="19"/>
        <v/>
      </c>
    </row>
    <row r="237" spans="3:7" x14ac:dyDescent="0.3">
      <c r="C237" s="26" t="str">
        <f t="shared" si="16"/>
        <v/>
      </c>
      <c r="D237" s="27" t="str">
        <f t="shared" si="15"/>
        <v/>
      </c>
      <c r="E237" s="27" t="str">
        <f t="shared" si="17"/>
        <v/>
      </c>
      <c r="F237" s="28" t="str">
        <f t="shared" si="18"/>
        <v/>
      </c>
      <c r="G237" s="27" t="str">
        <f t="shared" si="19"/>
        <v/>
      </c>
    </row>
    <row r="238" spans="3:7" x14ac:dyDescent="0.3">
      <c r="C238" s="26" t="str">
        <f t="shared" si="16"/>
        <v/>
      </c>
      <c r="D238" s="27" t="str">
        <f t="shared" si="15"/>
        <v/>
      </c>
      <c r="E238" s="27" t="str">
        <f t="shared" si="17"/>
        <v/>
      </c>
      <c r="F238" s="28" t="str">
        <f t="shared" si="18"/>
        <v/>
      </c>
      <c r="G238" s="27" t="str">
        <f t="shared" si="19"/>
        <v/>
      </c>
    </row>
    <row r="239" spans="3:7" x14ac:dyDescent="0.3">
      <c r="C239" s="26" t="str">
        <f t="shared" si="16"/>
        <v/>
      </c>
      <c r="D239" s="27" t="str">
        <f t="shared" si="15"/>
        <v/>
      </c>
      <c r="E239" s="27" t="str">
        <f t="shared" si="17"/>
        <v/>
      </c>
      <c r="F239" s="28" t="str">
        <f t="shared" si="18"/>
        <v/>
      </c>
      <c r="G239" s="27" t="str">
        <f t="shared" si="19"/>
        <v/>
      </c>
    </row>
    <row r="240" spans="3:7" x14ac:dyDescent="0.3">
      <c r="C240" s="26" t="str">
        <f t="shared" si="16"/>
        <v/>
      </c>
      <c r="D240" s="27" t="str">
        <f t="shared" si="15"/>
        <v/>
      </c>
      <c r="E240" s="27" t="str">
        <f t="shared" si="17"/>
        <v/>
      </c>
      <c r="F240" s="28" t="str">
        <f t="shared" si="18"/>
        <v/>
      </c>
      <c r="G240" s="27" t="str">
        <f t="shared" si="19"/>
        <v/>
      </c>
    </row>
    <row r="241" spans="3:7" x14ac:dyDescent="0.3">
      <c r="C241" s="26" t="str">
        <f t="shared" si="16"/>
        <v/>
      </c>
      <c r="D241" s="27" t="str">
        <f t="shared" si="15"/>
        <v/>
      </c>
      <c r="E241" s="27" t="str">
        <f t="shared" si="17"/>
        <v/>
      </c>
      <c r="F241" s="28" t="str">
        <f t="shared" si="18"/>
        <v/>
      </c>
      <c r="G241" s="27" t="str">
        <f t="shared" si="19"/>
        <v/>
      </c>
    </row>
    <row r="242" spans="3:7" x14ac:dyDescent="0.3">
      <c r="C242" s="26" t="str">
        <f t="shared" si="16"/>
        <v/>
      </c>
      <c r="D242" s="27" t="str">
        <f t="shared" si="15"/>
        <v/>
      </c>
      <c r="E242" s="27" t="str">
        <f t="shared" si="17"/>
        <v/>
      </c>
      <c r="F242" s="28" t="str">
        <f t="shared" si="18"/>
        <v/>
      </c>
      <c r="G242" s="27" t="str">
        <f t="shared" si="19"/>
        <v/>
      </c>
    </row>
    <row r="243" spans="3:7" x14ac:dyDescent="0.3">
      <c r="C243" s="26" t="str">
        <f t="shared" si="16"/>
        <v/>
      </c>
      <c r="D243" s="27" t="str">
        <f t="shared" si="15"/>
        <v/>
      </c>
      <c r="E243" s="27" t="str">
        <f t="shared" si="17"/>
        <v/>
      </c>
      <c r="F243" s="28" t="str">
        <f t="shared" si="18"/>
        <v/>
      </c>
      <c r="G243" s="27" t="str">
        <f t="shared" si="19"/>
        <v/>
      </c>
    </row>
    <row r="244" spans="3:7" x14ac:dyDescent="0.3">
      <c r="C244" s="26" t="str">
        <f t="shared" si="16"/>
        <v/>
      </c>
      <c r="D244" s="27" t="str">
        <f t="shared" si="15"/>
        <v/>
      </c>
      <c r="E244" s="27" t="str">
        <f t="shared" si="17"/>
        <v/>
      </c>
      <c r="F244" s="28" t="str">
        <f t="shared" si="18"/>
        <v/>
      </c>
      <c r="G244" s="27" t="str">
        <f t="shared" si="19"/>
        <v/>
      </c>
    </row>
    <row r="245" spans="3:7" x14ac:dyDescent="0.3">
      <c r="C245" s="26" t="str">
        <f t="shared" si="16"/>
        <v/>
      </c>
      <c r="D245" s="27" t="str">
        <f t="shared" si="15"/>
        <v/>
      </c>
      <c r="E245" s="27" t="str">
        <f t="shared" si="17"/>
        <v/>
      </c>
      <c r="F245" s="28" t="str">
        <f t="shared" si="18"/>
        <v/>
      </c>
      <c r="G245" s="27" t="str">
        <f t="shared" si="19"/>
        <v/>
      </c>
    </row>
    <row r="246" spans="3:7" x14ac:dyDescent="0.3">
      <c r="C246" s="26" t="str">
        <f t="shared" si="16"/>
        <v/>
      </c>
      <c r="D246" s="27" t="str">
        <f t="shared" si="15"/>
        <v/>
      </c>
      <c r="E246" s="27" t="str">
        <f t="shared" si="17"/>
        <v/>
      </c>
      <c r="F246" s="28" t="str">
        <f t="shared" si="18"/>
        <v/>
      </c>
      <c r="G246" s="27" t="str">
        <f t="shared" si="19"/>
        <v/>
      </c>
    </row>
    <row r="247" spans="3:7" x14ac:dyDescent="0.3">
      <c r="C247" s="26" t="str">
        <f t="shared" si="16"/>
        <v/>
      </c>
      <c r="D247" s="27" t="str">
        <f t="shared" si="15"/>
        <v/>
      </c>
      <c r="E247" s="27" t="str">
        <f t="shared" si="17"/>
        <v/>
      </c>
      <c r="F247" s="28" t="str">
        <f t="shared" si="18"/>
        <v/>
      </c>
      <c r="G247" s="27" t="str">
        <f t="shared" si="19"/>
        <v/>
      </c>
    </row>
    <row r="248" spans="3:7" x14ac:dyDescent="0.3">
      <c r="C248" s="26" t="str">
        <f t="shared" si="16"/>
        <v/>
      </c>
      <c r="D248" s="27" t="str">
        <f t="shared" si="15"/>
        <v/>
      </c>
      <c r="E248" s="27" t="str">
        <f t="shared" si="17"/>
        <v/>
      </c>
      <c r="F248" s="28" t="str">
        <f t="shared" si="18"/>
        <v/>
      </c>
      <c r="G248" s="27" t="str">
        <f t="shared" si="19"/>
        <v/>
      </c>
    </row>
    <row r="249" spans="3:7" x14ac:dyDescent="0.3">
      <c r="C249" s="26" t="str">
        <f t="shared" si="16"/>
        <v/>
      </c>
      <c r="D249" s="27" t="str">
        <f t="shared" si="15"/>
        <v/>
      </c>
      <c r="E249" s="27" t="str">
        <f t="shared" si="17"/>
        <v/>
      </c>
      <c r="F249" s="28" t="str">
        <f t="shared" si="18"/>
        <v/>
      </c>
      <c r="G249" s="27" t="str">
        <f t="shared" si="19"/>
        <v/>
      </c>
    </row>
    <row r="250" spans="3:7" x14ac:dyDescent="0.3">
      <c r="C250" s="26" t="str">
        <f t="shared" si="16"/>
        <v/>
      </c>
      <c r="D250" s="27" t="str">
        <f t="shared" si="15"/>
        <v/>
      </c>
      <c r="E250" s="27" t="str">
        <f t="shared" si="17"/>
        <v/>
      </c>
      <c r="F250" s="28" t="str">
        <f t="shared" si="18"/>
        <v/>
      </c>
      <c r="G250" s="27" t="str">
        <f t="shared" si="19"/>
        <v/>
      </c>
    </row>
    <row r="251" spans="3:7" x14ac:dyDescent="0.3">
      <c r="C251" s="26" t="str">
        <f t="shared" si="16"/>
        <v/>
      </c>
      <c r="D251" s="27" t="str">
        <f t="shared" si="15"/>
        <v/>
      </c>
      <c r="E251" s="27" t="str">
        <f t="shared" si="17"/>
        <v/>
      </c>
      <c r="F251" s="28" t="str">
        <f t="shared" si="18"/>
        <v/>
      </c>
      <c r="G251" s="27" t="str">
        <f t="shared" si="19"/>
        <v/>
      </c>
    </row>
    <row r="252" spans="3:7" x14ac:dyDescent="0.3">
      <c r="C252" s="26" t="str">
        <f t="shared" si="16"/>
        <v/>
      </c>
      <c r="D252" s="27" t="str">
        <f t="shared" si="15"/>
        <v/>
      </c>
      <c r="E252" s="27" t="str">
        <f t="shared" si="17"/>
        <v/>
      </c>
      <c r="F252" s="28" t="str">
        <f t="shared" si="18"/>
        <v/>
      </c>
      <c r="G252" s="27" t="str">
        <f t="shared" si="19"/>
        <v/>
      </c>
    </row>
    <row r="253" spans="3:7" x14ac:dyDescent="0.3">
      <c r="C253" s="26" t="str">
        <f t="shared" si="16"/>
        <v/>
      </c>
      <c r="D253" s="27" t="str">
        <f t="shared" si="15"/>
        <v/>
      </c>
      <c r="E253" s="27" t="str">
        <f t="shared" si="17"/>
        <v/>
      </c>
      <c r="F253" s="28" t="str">
        <f t="shared" si="18"/>
        <v/>
      </c>
      <c r="G253" s="27" t="str">
        <f t="shared" si="19"/>
        <v/>
      </c>
    </row>
    <row r="254" spans="3:7" x14ac:dyDescent="0.3">
      <c r="C254" s="26" t="str">
        <f t="shared" si="16"/>
        <v/>
      </c>
      <c r="D254" s="27" t="str">
        <f t="shared" si="15"/>
        <v/>
      </c>
      <c r="E254" s="27" t="str">
        <f t="shared" si="17"/>
        <v/>
      </c>
      <c r="F254" s="28" t="str">
        <f t="shared" si="18"/>
        <v/>
      </c>
      <c r="G254" s="27" t="str">
        <f t="shared" si="19"/>
        <v/>
      </c>
    </row>
    <row r="255" spans="3:7" x14ac:dyDescent="0.3">
      <c r="C255" s="26" t="str">
        <f t="shared" si="16"/>
        <v/>
      </c>
      <c r="D255" s="27" t="str">
        <f t="shared" si="15"/>
        <v/>
      </c>
      <c r="E255" s="27" t="str">
        <f t="shared" si="17"/>
        <v/>
      </c>
      <c r="F255" s="28" t="str">
        <f t="shared" si="18"/>
        <v/>
      </c>
      <c r="G255" s="27" t="str">
        <f t="shared" si="19"/>
        <v/>
      </c>
    </row>
    <row r="256" spans="3:7" x14ac:dyDescent="0.3">
      <c r="C256" s="26" t="str">
        <f t="shared" si="16"/>
        <v/>
      </c>
      <c r="D256" s="27" t="str">
        <f t="shared" si="15"/>
        <v/>
      </c>
      <c r="E256" s="27" t="str">
        <f t="shared" si="17"/>
        <v/>
      </c>
      <c r="F256" s="28" t="str">
        <f t="shared" si="18"/>
        <v/>
      </c>
      <c r="G256" s="27" t="str">
        <f t="shared" si="19"/>
        <v/>
      </c>
    </row>
    <row r="257" spans="3:7" x14ac:dyDescent="0.3">
      <c r="C257" s="26" t="str">
        <f t="shared" si="16"/>
        <v/>
      </c>
      <c r="D257" s="27" t="str">
        <f t="shared" si="15"/>
        <v/>
      </c>
      <c r="E257" s="27" t="str">
        <f t="shared" si="17"/>
        <v/>
      </c>
      <c r="F257" s="28" t="str">
        <f t="shared" si="18"/>
        <v/>
      </c>
      <c r="G257" s="27" t="str">
        <f t="shared" si="19"/>
        <v/>
      </c>
    </row>
    <row r="258" spans="3:7" x14ac:dyDescent="0.3">
      <c r="C258" s="26" t="str">
        <f t="shared" si="16"/>
        <v/>
      </c>
      <c r="D258" s="27" t="str">
        <f t="shared" si="15"/>
        <v/>
      </c>
      <c r="E258" s="27" t="str">
        <f t="shared" si="17"/>
        <v/>
      </c>
      <c r="F258" s="28" t="str">
        <f t="shared" si="18"/>
        <v/>
      </c>
      <c r="G258" s="27" t="str">
        <f t="shared" si="19"/>
        <v/>
      </c>
    </row>
    <row r="259" spans="3:7" x14ac:dyDescent="0.3">
      <c r="C259" s="26" t="str">
        <f t="shared" si="16"/>
        <v/>
      </c>
      <c r="D259" s="27" t="str">
        <f t="shared" si="15"/>
        <v/>
      </c>
      <c r="E259" s="27" t="str">
        <f t="shared" si="17"/>
        <v/>
      </c>
      <c r="F259" s="28" t="str">
        <f t="shared" si="18"/>
        <v/>
      </c>
      <c r="G259" s="27" t="str">
        <f t="shared" si="19"/>
        <v/>
      </c>
    </row>
    <row r="260" spans="3:7" x14ac:dyDescent="0.3">
      <c r="C260" s="26" t="str">
        <f t="shared" si="16"/>
        <v/>
      </c>
      <c r="D260" s="27" t="str">
        <f t="shared" si="15"/>
        <v/>
      </c>
      <c r="E260" s="27" t="str">
        <f t="shared" si="17"/>
        <v/>
      </c>
      <c r="F260" s="28" t="str">
        <f t="shared" si="18"/>
        <v/>
      </c>
      <c r="G260" s="27" t="str">
        <f t="shared" si="19"/>
        <v/>
      </c>
    </row>
    <row r="261" spans="3:7" x14ac:dyDescent="0.3">
      <c r="C261" s="26" t="str">
        <f t="shared" si="16"/>
        <v/>
      </c>
      <c r="D261" s="27" t="str">
        <f t="shared" si="15"/>
        <v/>
      </c>
      <c r="E261" s="27" t="str">
        <f t="shared" si="17"/>
        <v/>
      </c>
      <c r="F261" s="28" t="str">
        <f t="shared" si="18"/>
        <v/>
      </c>
      <c r="G261" s="27" t="str">
        <f t="shared" si="19"/>
        <v/>
      </c>
    </row>
    <row r="262" spans="3:7" x14ac:dyDescent="0.3">
      <c r="C262" s="26" t="str">
        <f t="shared" si="16"/>
        <v/>
      </c>
      <c r="D262" s="27" t="str">
        <f t="shared" si="15"/>
        <v/>
      </c>
      <c r="E262" s="27" t="str">
        <f t="shared" si="17"/>
        <v/>
      </c>
      <c r="F262" s="28" t="str">
        <f t="shared" si="18"/>
        <v/>
      </c>
      <c r="G262" s="27" t="str">
        <f t="shared" si="19"/>
        <v/>
      </c>
    </row>
    <row r="263" spans="3:7" x14ac:dyDescent="0.3">
      <c r="C263" s="26" t="str">
        <f t="shared" si="16"/>
        <v/>
      </c>
      <c r="D263" s="27" t="str">
        <f t="shared" si="15"/>
        <v/>
      </c>
      <c r="E263" s="27" t="str">
        <f t="shared" si="17"/>
        <v/>
      </c>
      <c r="F263" s="28" t="str">
        <f t="shared" si="18"/>
        <v/>
      </c>
      <c r="G263" s="27" t="str">
        <f t="shared" si="19"/>
        <v/>
      </c>
    </row>
    <row r="264" spans="3:7" x14ac:dyDescent="0.3">
      <c r="C264" s="26" t="str">
        <f t="shared" si="16"/>
        <v/>
      </c>
      <c r="D264" s="27" t="str">
        <f t="shared" si="15"/>
        <v/>
      </c>
      <c r="E264" s="27" t="str">
        <f t="shared" si="17"/>
        <v/>
      </c>
      <c r="F264" s="28" t="str">
        <f t="shared" si="18"/>
        <v/>
      </c>
      <c r="G264" s="27" t="str">
        <f t="shared" si="19"/>
        <v/>
      </c>
    </row>
    <row r="265" spans="3:7" x14ac:dyDescent="0.3">
      <c r="C265" s="26" t="str">
        <f t="shared" si="16"/>
        <v/>
      </c>
      <c r="D265" s="27" t="str">
        <f t="shared" si="15"/>
        <v/>
      </c>
      <c r="E265" s="27" t="str">
        <f t="shared" si="17"/>
        <v/>
      </c>
      <c r="F265" s="28" t="str">
        <f t="shared" si="18"/>
        <v/>
      </c>
      <c r="G265" s="27" t="str">
        <f t="shared" si="19"/>
        <v/>
      </c>
    </row>
    <row r="266" spans="3:7" x14ac:dyDescent="0.3">
      <c r="C266" s="26" t="str">
        <f t="shared" si="16"/>
        <v/>
      </c>
      <c r="D266" s="27" t="str">
        <f t="shared" si="15"/>
        <v/>
      </c>
      <c r="E266" s="27" t="str">
        <f t="shared" si="17"/>
        <v/>
      </c>
      <c r="F266" s="28" t="str">
        <f t="shared" si="18"/>
        <v/>
      </c>
      <c r="G266" s="27" t="str">
        <f t="shared" si="19"/>
        <v/>
      </c>
    </row>
    <row r="267" spans="3:7" x14ac:dyDescent="0.3">
      <c r="C267" s="26" t="str">
        <f t="shared" si="16"/>
        <v/>
      </c>
      <c r="D267" s="27" t="str">
        <f t="shared" si="15"/>
        <v/>
      </c>
      <c r="E267" s="27" t="str">
        <f t="shared" si="17"/>
        <v/>
      </c>
      <c r="F267" s="28" t="str">
        <f t="shared" si="18"/>
        <v/>
      </c>
      <c r="G267" s="27" t="str">
        <f t="shared" si="19"/>
        <v/>
      </c>
    </row>
    <row r="268" spans="3:7" x14ac:dyDescent="0.3">
      <c r="C268" s="26" t="str">
        <f t="shared" si="16"/>
        <v/>
      </c>
      <c r="D268" s="27" t="str">
        <f t="shared" si="15"/>
        <v/>
      </c>
      <c r="E268" s="27" t="str">
        <f t="shared" si="17"/>
        <v/>
      </c>
      <c r="F268" s="28" t="str">
        <f t="shared" si="18"/>
        <v/>
      </c>
      <c r="G268" s="27" t="str">
        <f t="shared" si="19"/>
        <v/>
      </c>
    </row>
    <row r="269" spans="3:7" x14ac:dyDescent="0.3">
      <c r="C269" s="26" t="str">
        <f t="shared" si="16"/>
        <v/>
      </c>
      <c r="D269" s="27" t="str">
        <f t="shared" si="15"/>
        <v/>
      </c>
      <c r="E269" s="27" t="str">
        <f t="shared" si="17"/>
        <v/>
      </c>
      <c r="F269" s="28" t="str">
        <f t="shared" si="18"/>
        <v/>
      </c>
      <c r="G269" s="27" t="str">
        <f t="shared" si="19"/>
        <v/>
      </c>
    </row>
    <row r="270" spans="3:7" x14ac:dyDescent="0.3">
      <c r="C270" s="26" t="str">
        <f t="shared" si="16"/>
        <v/>
      </c>
      <c r="D270" s="27" t="str">
        <f t="shared" ref="D270:D333" si="20">IF(C270&gt;$D$9,"",PMT($D$7,$D$9,$D$3)*-1)</f>
        <v/>
      </c>
      <c r="E270" s="27" t="str">
        <f t="shared" si="17"/>
        <v/>
      </c>
      <c r="F270" s="28" t="str">
        <f t="shared" si="18"/>
        <v/>
      </c>
      <c r="G270" s="27" t="str">
        <f t="shared" si="19"/>
        <v/>
      </c>
    </row>
    <row r="271" spans="3:7" x14ac:dyDescent="0.3">
      <c r="C271" s="26" t="str">
        <f t="shared" ref="C271:C334" si="21">IF(OR(C270=$D$9,C270=""),"",IF(ISNUMBER(C270),C270+1,1))</f>
        <v/>
      </c>
      <c r="D271" s="27" t="str">
        <f t="shared" si="20"/>
        <v/>
      </c>
      <c r="E271" s="27" t="str">
        <f t="shared" ref="E271:E334" si="22">IF(C271&gt;$D$9,"",$D$7*G270)</f>
        <v/>
      </c>
      <c r="F271" s="28" t="str">
        <f t="shared" ref="F271:F334" si="23">IF(C271&gt;$D$9,"",D271-E271)</f>
        <v/>
      </c>
      <c r="G271" s="27" t="str">
        <f t="shared" ref="G271:G334" si="24">IF(C271&gt;$D$9,"",G270-F271)</f>
        <v/>
      </c>
    </row>
    <row r="272" spans="3:7" x14ac:dyDescent="0.3">
      <c r="C272" s="26" t="str">
        <f t="shared" si="21"/>
        <v/>
      </c>
      <c r="D272" s="27" t="str">
        <f t="shared" si="20"/>
        <v/>
      </c>
      <c r="E272" s="27" t="str">
        <f t="shared" si="22"/>
        <v/>
      </c>
      <c r="F272" s="28" t="str">
        <f t="shared" si="23"/>
        <v/>
      </c>
      <c r="G272" s="27" t="str">
        <f t="shared" si="24"/>
        <v/>
      </c>
    </row>
    <row r="273" spans="3:7" x14ac:dyDescent="0.3">
      <c r="C273" s="26" t="str">
        <f t="shared" si="21"/>
        <v/>
      </c>
      <c r="D273" s="27" t="str">
        <f t="shared" si="20"/>
        <v/>
      </c>
      <c r="E273" s="27" t="str">
        <f t="shared" si="22"/>
        <v/>
      </c>
      <c r="F273" s="28" t="str">
        <f t="shared" si="23"/>
        <v/>
      </c>
      <c r="G273" s="27" t="str">
        <f t="shared" si="24"/>
        <v/>
      </c>
    </row>
    <row r="274" spans="3:7" x14ac:dyDescent="0.3">
      <c r="C274" s="26" t="str">
        <f t="shared" si="21"/>
        <v/>
      </c>
      <c r="D274" s="27" t="str">
        <f t="shared" si="20"/>
        <v/>
      </c>
      <c r="E274" s="27" t="str">
        <f t="shared" si="22"/>
        <v/>
      </c>
      <c r="F274" s="28" t="str">
        <f t="shared" si="23"/>
        <v/>
      </c>
      <c r="G274" s="27" t="str">
        <f t="shared" si="24"/>
        <v/>
      </c>
    </row>
    <row r="275" spans="3:7" x14ac:dyDescent="0.3">
      <c r="C275" s="26" t="str">
        <f t="shared" si="21"/>
        <v/>
      </c>
      <c r="D275" s="27" t="str">
        <f t="shared" si="20"/>
        <v/>
      </c>
      <c r="E275" s="27" t="str">
        <f t="shared" si="22"/>
        <v/>
      </c>
      <c r="F275" s="28" t="str">
        <f t="shared" si="23"/>
        <v/>
      </c>
      <c r="G275" s="27" t="str">
        <f t="shared" si="24"/>
        <v/>
      </c>
    </row>
    <row r="276" spans="3:7" x14ac:dyDescent="0.3">
      <c r="C276" s="26" t="str">
        <f t="shared" si="21"/>
        <v/>
      </c>
      <c r="D276" s="27" t="str">
        <f t="shared" si="20"/>
        <v/>
      </c>
      <c r="E276" s="27" t="str">
        <f t="shared" si="22"/>
        <v/>
      </c>
      <c r="F276" s="28" t="str">
        <f t="shared" si="23"/>
        <v/>
      </c>
      <c r="G276" s="27" t="str">
        <f t="shared" si="24"/>
        <v/>
      </c>
    </row>
    <row r="277" spans="3:7" x14ac:dyDescent="0.3">
      <c r="C277" s="26" t="str">
        <f t="shared" si="21"/>
        <v/>
      </c>
      <c r="D277" s="27" t="str">
        <f t="shared" si="20"/>
        <v/>
      </c>
      <c r="E277" s="27" t="str">
        <f t="shared" si="22"/>
        <v/>
      </c>
      <c r="F277" s="28" t="str">
        <f t="shared" si="23"/>
        <v/>
      </c>
      <c r="G277" s="27" t="str">
        <f t="shared" si="24"/>
        <v/>
      </c>
    </row>
    <row r="278" spans="3:7" x14ac:dyDescent="0.3">
      <c r="C278" s="26" t="str">
        <f t="shared" si="21"/>
        <v/>
      </c>
      <c r="D278" s="27" t="str">
        <f t="shared" si="20"/>
        <v/>
      </c>
      <c r="E278" s="27" t="str">
        <f t="shared" si="22"/>
        <v/>
      </c>
      <c r="F278" s="28" t="str">
        <f t="shared" si="23"/>
        <v/>
      </c>
      <c r="G278" s="27" t="str">
        <f t="shared" si="24"/>
        <v/>
      </c>
    </row>
    <row r="279" spans="3:7" x14ac:dyDescent="0.3">
      <c r="C279" s="26" t="str">
        <f t="shared" si="21"/>
        <v/>
      </c>
      <c r="D279" s="27" t="str">
        <f t="shared" si="20"/>
        <v/>
      </c>
      <c r="E279" s="27" t="str">
        <f t="shared" si="22"/>
        <v/>
      </c>
      <c r="F279" s="28" t="str">
        <f t="shared" si="23"/>
        <v/>
      </c>
      <c r="G279" s="27" t="str">
        <f t="shared" si="24"/>
        <v/>
      </c>
    </row>
    <row r="280" spans="3:7" x14ac:dyDescent="0.3">
      <c r="C280" s="26" t="str">
        <f t="shared" si="21"/>
        <v/>
      </c>
      <c r="D280" s="27" t="str">
        <f t="shared" si="20"/>
        <v/>
      </c>
      <c r="E280" s="27" t="str">
        <f t="shared" si="22"/>
        <v/>
      </c>
      <c r="F280" s="28" t="str">
        <f t="shared" si="23"/>
        <v/>
      </c>
      <c r="G280" s="27" t="str">
        <f t="shared" si="24"/>
        <v/>
      </c>
    </row>
    <row r="281" spans="3:7" x14ac:dyDescent="0.3">
      <c r="C281" s="26" t="str">
        <f t="shared" si="21"/>
        <v/>
      </c>
      <c r="D281" s="27" t="str">
        <f t="shared" si="20"/>
        <v/>
      </c>
      <c r="E281" s="27" t="str">
        <f t="shared" si="22"/>
        <v/>
      </c>
      <c r="F281" s="28" t="str">
        <f t="shared" si="23"/>
        <v/>
      </c>
      <c r="G281" s="27" t="str">
        <f t="shared" si="24"/>
        <v/>
      </c>
    </row>
    <row r="282" spans="3:7" x14ac:dyDescent="0.3">
      <c r="C282" s="26" t="str">
        <f t="shared" si="21"/>
        <v/>
      </c>
      <c r="D282" s="27" t="str">
        <f t="shared" si="20"/>
        <v/>
      </c>
      <c r="E282" s="27" t="str">
        <f t="shared" si="22"/>
        <v/>
      </c>
      <c r="F282" s="28" t="str">
        <f t="shared" si="23"/>
        <v/>
      </c>
      <c r="G282" s="27" t="str">
        <f t="shared" si="24"/>
        <v/>
      </c>
    </row>
    <row r="283" spans="3:7" x14ac:dyDescent="0.3">
      <c r="C283" s="26" t="str">
        <f t="shared" si="21"/>
        <v/>
      </c>
      <c r="D283" s="27" t="str">
        <f t="shared" si="20"/>
        <v/>
      </c>
      <c r="E283" s="27" t="str">
        <f t="shared" si="22"/>
        <v/>
      </c>
      <c r="F283" s="28" t="str">
        <f t="shared" si="23"/>
        <v/>
      </c>
      <c r="G283" s="27" t="str">
        <f t="shared" si="24"/>
        <v/>
      </c>
    </row>
    <row r="284" spans="3:7" x14ac:dyDescent="0.3">
      <c r="C284" s="26" t="str">
        <f t="shared" si="21"/>
        <v/>
      </c>
      <c r="D284" s="27" t="str">
        <f t="shared" si="20"/>
        <v/>
      </c>
      <c r="E284" s="27" t="str">
        <f t="shared" si="22"/>
        <v/>
      </c>
      <c r="F284" s="28" t="str">
        <f t="shared" si="23"/>
        <v/>
      </c>
      <c r="G284" s="27" t="str">
        <f t="shared" si="24"/>
        <v/>
      </c>
    </row>
    <row r="285" spans="3:7" x14ac:dyDescent="0.3">
      <c r="C285" s="26" t="str">
        <f t="shared" si="21"/>
        <v/>
      </c>
      <c r="D285" s="27" t="str">
        <f t="shared" si="20"/>
        <v/>
      </c>
      <c r="E285" s="27" t="str">
        <f t="shared" si="22"/>
        <v/>
      </c>
      <c r="F285" s="28" t="str">
        <f t="shared" si="23"/>
        <v/>
      </c>
      <c r="G285" s="27" t="str">
        <f t="shared" si="24"/>
        <v/>
      </c>
    </row>
    <row r="286" spans="3:7" x14ac:dyDescent="0.3">
      <c r="C286" s="26" t="str">
        <f t="shared" si="21"/>
        <v/>
      </c>
      <c r="D286" s="27" t="str">
        <f t="shared" si="20"/>
        <v/>
      </c>
      <c r="E286" s="27" t="str">
        <f t="shared" si="22"/>
        <v/>
      </c>
      <c r="F286" s="28" t="str">
        <f t="shared" si="23"/>
        <v/>
      </c>
      <c r="G286" s="27" t="str">
        <f t="shared" si="24"/>
        <v/>
      </c>
    </row>
    <row r="287" spans="3:7" x14ac:dyDescent="0.3">
      <c r="C287" s="26" t="str">
        <f t="shared" si="21"/>
        <v/>
      </c>
      <c r="D287" s="27" t="str">
        <f t="shared" si="20"/>
        <v/>
      </c>
      <c r="E287" s="27" t="str">
        <f t="shared" si="22"/>
        <v/>
      </c>
      <c r="F287" s="28" t="str">
        <f t="shared" si="23"/>
        <v/>
      </c>
      <c r="G287" s="27" t="str">
        <f t="shared" si="24"/>
        <v/>
      </c>
    </row>
    <row r="288" spans="3:7" x14ac:dyDescent="0.3">
      <c r="C288" s="26" t="str">
        <f t="shared" si="21"/>
        <v/>
      </c>
      <c r="D288" s="27" t="str">
        <f t="shared" si="20"/>
        <v/>
      </c>
      <c r="E288" s="27" t="str">
        <f t="shared" si="22"/>
        <v/>
      </c>
      <c r="F288" s="28" t="str">
        <f t="shared" si="23"/>
        <v/>
      </c>
      <c r="G288" s="27" t="str">
        <f t="shared" si="24"/>
        <v/>
      </c>
    </row>
    <row r="289" spans="3:7" x14ac:dyDescent="0.3">
      <c r="C289" s="26" t="str">
        <f t="shared" si="21"/>
        <v/>
      </c>
      <c r="D289" s="27" t="str">
        <f t="shared" si="20"/>
        <v/>
      </c>
      <c r="E289" s="27" t="str">
        <f t="shared" si="22"/>
        <v/>
      </c>
      <c r="F289" s="28" t="str">
        <f t="shared" si="23"/>
        <v/>
      </c>
      <c r="G289" s="27" t="str">
        <f t="shared" si="24"/>
        <v/>
      </c>
    </row>
    <row r="290" spans="3:7" x14ac:dyDescent="0.3">
      <c r="C290" s="26" t="str">
        <f t="shared" si="21"/>
        <v/>
      </c>
      <c r="D290" s="27" t="str">
        <f t="shared" si="20"/>
        <v/>
      </c>
      <c r="E290" s="27" t="str">
        <f t="shared" si="22"/>
        <v/>
      </c>
      <c r="F290" s="28" t="str">
        <f t="shared" si="23"/>
        <v/>
      </c>
      <c r="G290" s="27" t="str">
        <f t="shared" si="24"/>
        <v/>
      </c>
    </row>
    <row r="291" spans="3:7" x14ac:dyDescent="0.3">
      <c r="C291" s="26" t="str">
        <f t="shared" si="21"/>
        <v/>
      </c>
      <c r="D291" s="27" t="str">
        <f t="shared" si="20"/>
        <v/>
      </c>
      <c r="E291" s="27" t="str">
        <f t="shared" si="22"/>
        <v/>
      </c>
      <c r="F291" s="28" t="str">
        <f t="shared" si="23"/>
        <v/>
      </c>
      <c r="G291" s="27" t="str">
        <f t="shared" si="24"/>
        <v/>
      </c>
    </row>
    <row r="292" spans="3:7" x14ac:dyDescent="0.3">
      <c r="C292" s="26" t="str">
        <f t="shared" si="21"/>
        <v/>
      </c>
      <c r="D292" s="27" t="str">
        <f t="shared" si="20"/>
        <v/>
      </c>
      <c r="E292" s="27" t="str">
        <f t="shared" si="22"/>
        <v/>
      </c>
      <c r="F292" s="28" t="str">
        <f t="shared" si="23"/>
        <v/>
      </c>
      <c r="G292" s="27" t="str">
        <f t="shared" si="24"/>
        <v/>
      </c>
    </row>
    <row r="293" spans="3:7" x14ac:dyDescent="0.3">
      <c r="C293" s="26" t="str">
        <f t="shared" si="21"/>
        <v/>
      </c>
      <c r="D293" s="27" t="str">
        <f t="shared" si="20"/>
        <v/>
      </c>
      <c r="E293" s="27" t="str">
        <f t="shared" si="22"/>
        <v/>
      </c>
      <c r="F293" s="28" t="str">
        <f t="shared" si="23"/>
        <v/>
      </c>
      <c r="G293" s="27" t="str">
        <f t="shared" si="24"/>
        <v/>
      </c>
    </row>
    <row r="294" spans="3:7" x14ac:dyDescent="0.3">
      <c r="C294" s="26" t="str">
        <f t="shared" si="21"/>
        <v/>
      </c>
      <c r="D294" s="27" t="str">
        <f t="shared" si="20"/>
        <v/>
      </c>
      <c r="E294" s="27" t="str">
        <f t="shared" si="22"/>
        <v/>
      </c>
      <c r="F294" s="28" t="str">
        <f t="shared" si="23"/>
        <v/>
      </c>
      <c r="G294" s="27" t="str">
        <f t="shared" si="24"/>
        <v/>
      </c>
    </row>
    <row r="295" spans="3:7" x14ac:dyDescent="0.3">
      <c r="C295" s="26" t="str">
        <f t="shared" si="21"/>
        <v/>
      </c>
      <c r="D295" s="27" t="str">
        <f t="shared" si="20"/>
        <v/>
      </c>
      <c r="E295" s="27" t="str">
        <f t="shared" si="22"/>
        <v/>
      </c>
      <c r="F295" s="28" t="str">
        <f t="shared" si="23"/>
        <v/>
      </c>
      <c r="G295" s="27" t="str">
        <f t="shared" si="24"/>
        <v/>
      </c>
    </row>
    <row r="296" spans="3:7" x14ac:dyDescent="0.3">
      <c r="C296" s="26" t="str">
        <f t="shared" si="21"/>
        <v/>
      </c>
      <c r="D296" s="27" t="str">
        <f t="shared" si="20"/>
        <v/>
      </c>
      <c r="E296" s="27" t="str">
        <f t="shared" si="22"/>
        <v/>
      </c>
      <c r="F296" s="28" t="str">
        <f t="shared" si="23"/>
        <v/>
      </c>
      <c r="G296" s="27" t="str">
        <f t="shared" si="24"/>
        <v/>
      </c>
    </row>
    <row r="297" spans="3:7" x14ac:dyDescent="0.3">
      <c r="C297" s="26" t="str">
        <f t="shared" si="21"/>
        <v/>
      </c>
      <c r="D297" s="27" t="str">
        <f t="shared" si="20"/>
        <v/>
      </c>
      <c r="E297" s="27" t="str">
        <f t="shared" si="22"/>
        <v/>
      </c>
      <c r="F297" s="28" t="str">
        <f t="shared" si="23"/>
        <v/>
      </c>
      <c r="G297" s="27" t="str">
        <f t="shared" si="24"/>
        <v/>
      </c>
    </row>
    <row r="298" spans="3:7" x14ac:dyDescent="0.3">
      <c r="C298" s="26" t="str">
        <f t="shared" si="21"/>
        <v/>
      </c>
      <c r="D298" s="27" t="str">
        <f t="shared" si="20"/>
        <v/>
      </c>
      <c r="E298" s="27" t="str">
        <f t="shared" si="22"/>
        <v/>
      </c>
      <c r="F298" s="28" t="str">
        <f t="shared" si="23"/>
        <v/>
      </c>
      <c r="G298" s="27" t="str">
        <f t="shared" si="24"/>
        <v/>
      </c>
    </row>
    <row r="299" spans="3:7" x14ac:dyDescent="0.3">
      <c r="C299" s="26" t="str">
        <f t="shared" si="21"/>
        <v/>
      </c>
      <c r="D299" s="27" t="str">
        <f t="shared" si="20"/>
        <v/>
      </c>
      <c r="E299" s="27" t="str">
        <f t="shared" si="22"/>
        <v/>
      </c>
      <c r="F299" s="28" t="str">
        <f t="shared" si="23"/>
        <v/>
      </c>
      <c r="G299" s="27" t="str">
        <f t="shared" si="24"/>
        <v/>
      </c>
    </row>
    <row r="300" spans="3:7" x14ac:dyDescent="0.3">
      <c r="C300" s="26" t="str">
        <f t="shared" si="21"/>
        <v/>
      </c>
      <c r="D300" s="27" t="str">
        <f t="shared" si="20"/>
        <v/>
      </c>
      <c r="E300" s="27" t="str">
        <f t="shared" si="22"/>
        <v/>
      </c>
      <c r="F300" s="28" t="str">
        <f t="shared" si="23"/>
        <v/>
      </c>
      <c r="G300" s="27" t="str">
        <f t="shared" si="24"/>
        <v/>
      </c>
    </row>
    <row r="301" spans="3:7" x14ac:dyDescent="0.3">
      <c r="C301" s="26" t="str">
        <f t="shared" si="21"/>
        <v/>
      </c>
      <c r="D301" s="27" t="str">
        <f t="shared" si="20"/>
        <v/>
      </c>
      <c r="E301" s="27" t="str">
        <f t="shared" si="22"/>
        <v/>
      </c>
      <c r="F301" s="28" t="str">
        <f t="shared" si="23"/>
        <v/>
      </c>
      <c r="G301" s="27" t="str">
        <f t="shared" si="24"/>
        <v/>
      </c>
    </row>
    <row r="302" spans="3:7" x14ac:dyDescent="0.3">
      <c r="C302" s="26" t="str">
        <f t="shared" si="21"/>
        <v/>
      </c>
      <c r="D302" s="27" t="str">
        <f t="shared" si="20"/>
        <v/>
      </c>
      <c r="E302" s="27" t="str">
        <f t="shared" si="22"/>
        <v/>
      </c>
      <c r="F302" s="28" t="str">
        <f t="shared" si="23"/>
        <v/>
      </c>
      <c r="G302" s="27" t="str">
        <f t="shared" si="24"/>
        <v/>
      </c>
    </row>
    <row r="303" spans="3:7" x14ac:dyDescent="0.3">
      <c r="C303" s="26" t="str">
        <f t="shared" si="21"/>
        <v/>
      </c>
      <c r="D303" s="27" t="str">
        <f t="shared" si="20"/>
        <v/>
      </c>
      <c r="E303" s="27" t="str">
        <f t="shared" si="22"/>
        <v/>
      </c>
      <c r="F303" s="28" t="str">
        <f t="shared" si="23"/>
        <v/>
      </c>
      <c r="G303" s="27" t="str">
        <f t="shared" si="24"/>
        <v/>
      </c>
    </row>
    <row r="304" spans="3:7" x14ac:dyDescent="0.3">
      <c r="C304" s="26" t="str">
        <f t="shared" si="21"/>
        <v/>
      </c>
      <c r="D304" s="27" t="str">
        <f t="shared" si="20"/>
        <v/>
      </c>
      <c r="E304" s="27" t="str">
        <f t="shared" si="22"/>
        <v/>
      </c>
      <c r="F304" s="28" t="str">
        <f t="shared" si="23"/>
        <v/>
      </c>
      <c r="G304" s="27" t="str">
        <f t="shared" si="24"/>
        <v/>
      </c>
    </row>
    <row r="305" spans="3:7" x14ac:dyDescent="0.3">
      <c r="C305" s="26" t="str">
        <f t="shared" si="21"/>
        <v/>
      </c>
      <c r="D305" s="27" t="str">
        <f t="shared" si="20"/>
        <v/>
      </c>
      <c r="E305" s="27" t="str">
        <f t="shared" si="22"/>
        <v/>
      </c>
      <c r="F305" s="28" t="str">
        <f t="shared" si="23"/>
        <v/>
      </c>
      <c r="G305" s="27" t="str">
        <f t="shared" si="24"/>
        <v/>
      </c>
    </row>
    <row r="306" spans="3:7" x14ac:dyDescent="0.3">
      <c r="C306" s="26" t="str">
        <f t="shared" si="21"/>
        <v/>
      </c>
      <c r="D306" s="27" t="str">
        <f t="shared" si="20"/>
        <v/>
      </c>
      <c r="E306" s="27" t="str">
        <f t="shared" si="22"/>
        <v/>
      </c>
      <c r="F306" s="28" t="str">
        <f t="shared" si="23"/>
        <v/>
      </c>
      <c r="G306" s="27" t="str">
        <f t="shared" si="24"/>
        <v/>
      </c>
    </row>
    <row r="307" spans="3:7" x14ac:dyDescent="0.3">
      <c r="C307" s="26" t="str">
        <f t="shared" si="21"/>
        <v/>
      </c>
      <c r="D307" s="27" t="str">
        <f t="shared" si="20"/>
        <v/>
      </c>
      <c r="E307" s="27" t="str">
        <f t="shared" si="22"/>
        <v/>
      </c>
      <c r="F307" s="28" t="str">
        <f t="shared" si="23"/>
        <v/>
      </c>
      <c r="G307" s="27" t="str">
        <f t="shared" si="24"/>
        <v/>
      </c>
    </row>
    <row r="308" spans="3:7" x14ac:dyDescent="0.3">
      <c r="C308" s="26" t="str">
        <f t="shared" si="21"/>
        <v/>
      </c>
      <c r="D308" s="27" t="str">
        <f t="shared" si="20"/>
        <v/>
      </c>
      <c r="E308" s="27" t="str">
        <f t="shared" si="22"/>
        <v/>
      </c>
      <c r="F308" s="28" t="str">
        <f t="shared" si="23"/>
        <v/>
      </c>
      <c r="G308" s="27" t="str">
        <f t="shared" si="24"/>
        <v/>
      </c>
    </row>
    <row r="309" spans="3:7" x14ac:dyDescent="0.3">
      <c r="C309" s="26" t="str">
        <f t="shared" si="21"/>
        <v/>
      </c>
      <c r="D309" s="27" t="str">
        <f t="shared" si="20"/>
        <v/>
      </c>
      <c r="E309" s="27" t="str">
        <f t="shared" si="22"/>
        <v/>
      </c>
      <c r="F309" s="28" t="str">
        <f t="shared" si="23"/>
        <v/>
      </c>
      <c r="G309" s="27" t="str">
        <f t="shared" si="24"/>
        <v/>
      </c>
    </row>
    <row r="310" spans="3:7" x14ac:dyDescent="0.3">
      <c r="C310" s="26" t="str">
        <f t="shared" si="21"/>
        <v/>
      </c>
      <c r="D310" s="27" t="str">
        <f t="shared" si="20"/>
        <v/>
      </c>
      <c r="E310" s="27" t="str">
        <f t="shared" si="22"/>
        <v/>
      </c>
      <c r="F310" s="28" t="str">
        <f t="shared" si="23"/>
        <v/>
      </c>
      <c r="G310" s="27" t="str">
        <f t="shared" si="24"/>
        <v/>
      </c>
    </row>
    <row r="311" spans="3:7" x14ac:dyDescent="0.3">
      <c r="C311" s="26" t="str">
        <f t="shared" si="21"/>
        <v/>
      </c>
      <c r="D311" s="27" t="str">
        <f t="shared" si="20"/>
        <v/>
      </c>
      <c r="E311" s="27" t="str">
        <f t="shared" si="22"/>
        <v/>
      </c>
      <c r="F311" s="28" t="str">
        <f t="shared" si="23"/>
        <v/>
      </c>
      <c r="G311" s="27" t="str">
        <f t="shared" si="24"/>
        <v/>
      </c>
    </row>
    <row r="312" spans="3:7" x14ac:dyDescent="0.3">
      <c r="C312" s="26" t="str">
        <f t="shared" si="21"/>
        <v/>
      </c>
      <c r="D312" s="27" t="str">
        <f t="shared" si="20"/>
        <v/>
      </c>
      <c r="E312" s="27" t="str">
        <f t="shared" si="22"/>
        <v/>
      </c>
      <c r="F312" s="28" t="str">
        <f t="shared" si="23"/>
        <v/>
      </c>
      <c r="G312" s="27" t="str">
        <f t="shared" si="24"/>
        <v/>
      </c>
    </row>
    <row r="313" spans="3:7" x14ac:dyDescent="0.3">
      <c r="C313" s="26" t="str">
        <f t="shared" si="21"/>
        <v/>
      </c>
      <c r="D313" s="27" t="str">
        <f t="shared" si="20"/>
        <v/>
      </c>
      <c r="E313" s="27" t="str">
        <f t="shared" si="22"/>
        <v/>
      </c>
      <c r="F313" s="28" t="str">
        <f t="shared" si="23"/>
        <v/>
      </c>
      <c r="G313" s="27" t="str">
        <f t="shared" si="24"/>
        <v/>
      </c>
    </row>
    <row r="314" spans="3:7" x14ac:dyDescent="0.3">
      <c r="C314" s="26" t="str">
        <f t="shared" si="21"/>
        <v/>
      </c>
      <c r="D314" s="27" t="str">
        <f t="shared" si="20"/>
        <v/>
      </c>
      <c r="E314" s="27" t="str">
        <f t="shared" si="22"/>
        <v/>
      </c>
      <c r="F314" s="28" t="str">
        <f t="shared" si="23"/>
        <v/>
      </c>
      <c r="G314" s="27" t="str">
        <f t="shared" si="24"/>
        <v/>
      </c>
    </row>
    <row r="315" spans="3:7" x14ac:dyDescent="0.3">
      <c r="C315" s="26" t="str">
        <f t="shared" si="21"/>
        <v/>
      </c>
      <c r="D315" s="27" t="str">
        <f t="shared" si="20"/>
        <v/>
      </c>
      <c r="E315" s="27" t="str">
        <f t="shared" si="22"/>
        <v/>
      </c>
      <c r="F315" s="28" t="str">
        <f t="shared" si="23"/>
        <v/>
      </c>
      <c r="G315" s="27" t="str">
        <f t="shared" si="24"/>
        <v/>
      </c>
    </row>
    <row r="316" spans="3:7" x14ac:dyDescent="0.3">
      <c r="C316" s="26" t="str">
        <f t="shared" si="21"/>
        <v/>
      </c>
      <c r="D316" s="27" t="str">
        <f t="shared" si="20"/>
        <v/>
      </c>
      <c r="E316" s="27" t="str">
        <f t="shared" si="22"/>
        <v/>
      </c>
      <c r="F316" s="28" t="str">
        <f t="shared" si="23"/>
        <v/>
      </c>
      <c r="G316" s="27" t="str">
        <f t="shared" si="24"/>
        <v/>
      </c>
    </row>
    <row r="317" spans="3:7" x14ac:dyDescent="0.3">
      <c r="C317" s="26" t="str">
        <f t="shared" si="21"/>
        <v/>
      </c>
      <c r="D317" s="27" t="str">
        <f t="shared" si="20"/>
        <v/>
      </c>
      <c r="E317" s="27" t="str">
        <f t="shared" si="22"/>
        <v/>
      </c>
      <c r="F317" s="28" t="str">
        <f t="shared" si="23"/>
        <v/>
      </c>
      <c r="G317" s="27" t="str">
        <f t="shared" si="24"/>
        <v/>
      </c>
    </row>
    <row r="318" spans="3:7" x14ac:dyDescent="0.3">
      <c r="C318" s="26" t="str">
        <f t="shared" si="21"/>
        <v/>
      </c>
      <c r="D318" s="27" t="str">
        <f t="shared" si="20"/>
        <v/>
      </c>
      <c r="E318" s="27" t="str">
        <f t="shared" si="22"/>
        <v/>
      </c>
      <c r="F318" s="28" t="str">
        <f t="shared" si="23"/>
        <v/>
      </c>
      <c r="G318" s="27" t="str">
        <f t="shared" si="24"/>
        <v/>
      </c>
    </row>
    <row r="319" spans="3:7" x14ac:dyDescent="0.3">
      <c r="C319" s="26" t="str">
        <f t="shared" si="21"/>
        <v/>
      </c>
      <c r="D319" s="27" t="str">
        <f t="shared" si="20"/>
        <v/>
      </c>
      <c r="E319" s="27" t="str">
        <f t="shared" si="22"/>
        <v/>
      </c>
      <c r="F319" s="28" t="str">
        <f t="shared" si="23"/>
        <v/>
      </c>
      <c r="G319" s="27" t="str">
        <f t="shared" si="24"/>
        <v/>
      </c>
    </row>
    <row r="320" spans="3:7" x14ac:dyDescent="0.3">
      <c r="C320" s="26" t="str">
        <f t="shared" si="21"/>
        <v/>
      </c>
      <c r="D320" s="27" t="str">
        <f t="shared" si="20"/>
        <v/>
      </c>
      <c r="E320" s="27" t="str">
        <f t="shared" si="22"/>
        <v/>
      </c>
      <c r="F320" s="28" t="str">
        <f t="shared" si="23"/>
        <v/>
      </c>
      <c r="G320" s="27" t="str">
        <f t="shared" si="24"/>
        <v/>
      </c>
    </row>
    <row r="321" spans="3:7" x14ac:dyDescent="0.3">
      <c r="C321" s="26" t="str">
        <f t="shared" si="21"/>
        <v/>
      </c>
      <c r="D321" s="27" t="str">
        <f t="shared" si="20"/>
        <v/>
      </c>
      <c r="E321" s="27" t="str">
        <f t="shared" si="22"/>
        <v/>
      </c>
      <c r="F321" s="28" t="str">
        <f t="shared" si="23"/>
        <v/>
      </c>
      <c r="G321" s="27" t="str">
        <f t="shared" si="24"/>
        <v/>
      </c>
    </row>
    <row r="322" spans="3:7" x14ac:dyDescent="0.3">
      <c r="C322" s="26" t="str">
        <f t="shared" si="21"/>
        <v/>
      </c>
      <c r="D322" s="27" t="str">
        <f t="shared" si="20"/>
        <v/>
      </c>
      <c r="E322" s="27" t="str">
        <f t="shared" si="22"/>
        <v/>
      </c>
      <c r="F322" s="28" t="str">
        <f t="shared" si="23"/>
        <v/>
      </c>
      <c r="G322" s="27" t="str">
        <f t="shared" si="24"/>
        <v/>
      </c>
    </row>
    <row r="323" spans="3:7" x14ac:dyDescent="0.3">
      <c r="C323" s="26" t="str">
        <f t="shared" si="21"/>
        <v/>
      </c>
      <c r="D323" s="27" t="str">
        <f t="shared" si="20"/>
        <v/>
      </c>
      <c r="E323" s="27" t="str">
        <f t="shared" si="22"/>
        <v/>
      </c>
      <c r="F323" s="28" t="str">
        <f t="shared" si="23"/>
        <v/>
      </c>
      <c r="G323" s="27" t="str">
        <f t="shared" si="24"/>
        <v/>
      </c>
    </row>
    <row r="324" spans="3:7" x14ac:dyDescent="0.3">
      <c r="C324" s="26" t="str">
        <f t="shared" si="21"/>
        <v/>
      </c>
      <c r="D324" s="27" t="str">
        <f t="shared" si="20"/>
        <v/>
      </c>
      <c r="E324" s="27" t="str">
        <f t="shared" si="22"/>
        <v/>
      </c>
      <c r="F324" s="28" t="str">
        <f t="shared" si="23"/>
        <v/>
      </c>
      <c r="G324" s="27" t="str">
        <f t="shared" si="24"/>
        <v/>
      </c>
    </row>
    <row r="325" spans="3:7" x14ac:dyDescent="0.3">
      <c r="C325" s="26" t="str">
        <f t="shared" si="21"/>
        <v/>
      </c>
      <c r="D325" s="27" t="str">
        <f t="shared" si="20"/>
        <v/>
      </c>
      <c r="E325" s="27" t="str">
        <f t="shared" si="22"/>
        <v/>
      </c>
      <c r="F325" s="28" t="str">
        <f t="shared" si="23"/>
        <v/>
      </c>
      <c r="G325" s="27" t="str">
        <f t="shared" si="24"/>
        <v/>
      </c>
    </row>
    <row r="326" spans="3:7" x14ac:dyDescent="0.3">
      <c r="C326" s="26" t="str">
        <f t="shared" si="21"/>
        <v/>
      </c>
      <c r="D326" s="27" t="str">
        <f t="shared" si="20"/>
        <v/>
      </c>
      <c r="E326" s="27" t="str">
        <f t="shared" si="22"/>
        <v/>
      </c>
      <c r="F326" s="28" t="str">
        <f t="shared" si="23"/>
        <v/>
      </c>
      <c r="G326" s="27" t="str">
        <f t="shared" si="24"/>
        <v/>
      </c>
    </row>
    <row r="327" spans="3:7" x14ac:dyDescent="0.3">
      <c r="C327" s="26" t="str">
        <f t="shared" si="21"/>
        <v/>
      </c>
      <c r="D327" s="27" t="str">
        <f t="shared" si="20"/>
        <v/>
      </c>
      <c r="E327" s="27" t="str">
        <f t="shared" si="22"/>
        <v/>
      </c>
      <c r="F327" s="28" t="str">
        <f t="shared" si="23"/>
        <v/>
      </c>
      <c r="G327" s="27" t="str">
        <f t="shared" si="24"/>
        <v/>
      </c>
    </row>
    <row r="328" spans="3:7" x14ac:dyDescent="0.3">
      <c r="C328" s="26" t="str">
        <f t="shared" si="21"/>
        <v/>
      </c>
      <c r="D328" s="27" t="str">
        <f t="shared" si="20"/>
        <v/>
      </c>
      <c r="E328" s="27" t="str">
        <f t="shared" si="22"/>
        <v/>
      </c>
      <c r="F328" s="28" t="str">
        <f t="shared" si="23"/>
        <v/>
      </c>
      <c r="G328" s="27" t="str">
        <f t="shared" si="24"/>
        <v/>
      </c>
    </row>
    <row r="329" spans="3:7" x14ac:dyDescent="0.3">
      <c r="C329" s="26" t="str">
        <f t="shared" si="21"/>
        <v/>
      </c>
      <c r="D329" s="27" t="str">
        <f t="shared" si="20"/>
        <v/>
      </c>
      <c r="E329" s="27" t="str">
        <f t="shared" si="22"/>
        <v/>
      </c>
      <c r="F329" s="28" t="str">
        <f t="shared" si="23"/>
        <v/>
      </c>
      <c r="G329" s="27" t="str">
        <f t="shared" si="24"/>
        <v/>
      </c>
    </row>
    <row r="330" spans="3:7" x14ac:dyDescent="0.3">
      <c r="C330" s="26" t="str">
        <f t="shared" si="21"/>
        <v/>
      </c>
      <c r="D330" s="27" t="str">
        <f t="shared" si="20"/>
        <v/>
      </c>
      <c r="E330" s="27" t="str">
        <f t="shared" si="22"/>
        <v/>
      </c>
      <c r="F330" s="28" t="str">
        <f t="shared" si="23"/>
        <v/>
      </c>
      <c r="G330" s="27" t="str">
        <f t="shared" si="24"/>
        <v/>
      </c>
    </row>
    <row r="331" spans="3:7" x14ac:dyDescent="0.3">
      <c r="C331" s="26" t="str">
        <f t="shared" si="21"/>
        <v/>
      </c>
      <c r="D331" s="27" t="str">
        <f t="shared" si="20"/>
        <v/>
      </c>
      <c r="E331" s="27" t="str">
        <f t="shared" si="22"/>
        <v/>
      </c>
      <c r="F331" s="28" t="str">
        <f t="shared" si="23"/>
        <v/>
      </c>
      <c r="G331" s="27" t="str">
        <f t="shared" si="24"/>
        <v/>
      </c>
    </row>
    <row r="332" spans="3:7" x14ac:dyDescent="0.3">
      <c r="C332" s="26" t="str">
        <f t="shared" si="21"/>
        <v/>
      </c>
      <c r="D332" s="27" t="str">
        <f t="shared" si="20"/>
        <v/>
      </c>
      <c r="E332" s="27" t="str">
        <f t="shared" si="22"/>
        <v/>
      </c>
      <c r="F332" s="28" t="str">
        <f t="shared" si="23"/>
        <v/>
      </c>
      <c r="G332" s="27" t="str">
        <f t="shared" si="24"/>
        <v/>
      </c>
    </row>
    <row r="333" spans="3:7" x14ac:dyDescent="0.3">
      <c r="C333" s="26" t="str">
        <f t="shared" si="21"/>
        <v/>
      </c>
      <c r="D333" s="27" t="str">
        <f t="shared" si="20"/>
        <v/>
      </c>
      <c r="E333" s="27" t="str">
        <f t="shared" si="22"/>
        <v/>
      </c>
      <c r="F333" s="28" t="str">
        <f t="shared" si="23"/>
        <v/>
      </c>
      <c r="G333" s="27" t="str">
        <f t="shared" si="24"/>
        <v/>
      </c>
    </row>
    <row r="334" spans="3:7" x14ac:dyDescent="0.3">
      <c r="C334" s="26" t="str">
        <f t="shared" si="21"/>
        <v/>
      </c>
      <c r="D334" s="27" t="str">
        <f t="shared" ref="D334:D397" si="25">IF(C334&gt;$D$9,"",PMT($D$7,$D$9,$D$3)*-1)</f>
        <v/>
      </c>
      <c r="E334" s="27" t="str">
        <f t="shared" si="22"/>
        <v/>
      </c>
      <c r="F334" s="28" t="str">
        <f t="shared" si="23"/>
        <v/>
      </c>
      <c r="G334" s="27" t="str">
        <f t="shared" si="24"/>
        <v/>
      </c>
    </row>
    <row r="335" spans="3:7" x14ac:dyDescent="0.3">
      <c r="C335" s="26" t="str">
        <f t="shared" ref="C335:C398" si="26">IF(OR(C334=$D$9,C334=""),"",IF(ISNUMBER(C334),C334+1,1))</f>
        <v/>
      </c>
      <c r="D335" s="27" t="str">
        <f t="shared" si="25"/>
        <v/>
      </c>
      <c r="E335" s="27" t="str">
        <f t="shared" ref="E335:E398" si="27">IF(C335&gt;$D$9,"",$D$7*G334)</f>
        <v/>
      </c>
      <c r="F335" s="28" t="str">
        <f t="shared" ref="F335:F398" si="28">IF(C335&gt;$D$9,"",D335-E335)</f>
        <v/>
      </c>
      <c r="G335" s="27" t="str">
        <f t="shared" ref="G335:G398" si="29">IF(C335&gt;$D$9,"",G334-F335)</f>
        <v/>
      </c>
    </row>
    <row r="336" spans="3:7" x14ac:dyDescent="0.3">
      <c r="C336" s="26" t="str">
        <f t="shared" si="26"/>
        <v/>
      </c>
      <c r="D336" s="27" t="str">
        <f t="shared" si="25"/>
        <v/>
      </c>
      <c r="E336" s="27" t="str">
        <f t="shared" si="27"/>
        <v/>
      </c>
      <c r="F336" s="28" t="str">
        <f t="shared" si="28"/>
        <v/>
      </c>
      <c r="G336" s="27" t="str">
        <f t="shared" si="29"/>
        <v/>
      </c>
    </row>
    <row r="337" spans="3:7" x14ac:dyDescent="0.3">
      <c r="C337" s="26" t="str">
        <f t="shared" si="26"/>
        <v/>
      </c>
      <c r="D337" s="27" t="str">
        <f t="shared" si="25"/>
        <v/>
      </c>
      <c r="E337" s="27" t="str">
        <f t="shared" si="27"/>
        <v/>
      </c>
      <c r="F337" s="28" t="str">
        <f t="shared" si="28"/>
        <v/>
      </c>
      <c r="G337" s="27" t="str">
        <f t="shared" si="29"/>
        <v/>
      </c>
    </row>
    <row r="338" spans="3:7" x14ac:dyDescent="0.3">
      <c r="C338" s="26" t="str">
        <f t="shared" si="26"/>
        <v/>
      </c>
      <c r="D338" s="27" t="str">
        <f t="shared" si="25"/>
        <v/>
      </c>
      <c r="E338" s="27" t="str">
        <f t="shared" si="27"/>
        <v/>
      </c>
      <c r="F338" s="28" t="str">
        <f t="shared" si="28"/>
        <v/>
      </c>
      <c r="G338" s="27" t="str">
        <f t="shared" si="29"/>
        <v/>
      </c>
    </row>
    <row r="339" spans="3:7" x14ac:dyDescent="0.3">
      <c r="C339" s="26" t="str">
        <f t="shared" si="26"/>
        <v/>
      </c>
      <c r="D339" s="27" t="str">
        <f t="shared" si="25"/>
        <v/>
      </c>
      <c r="E339" s="27" t="str">
        <f t="shared" si="27"/>
        <v/>
      </c>
      <c r="F339" s="28" t="str">
        <f t="shared" si="28"/>
        <v/>
      </c>
      <c r="G339" s="27" t="str">
        <f t="shared" si="29"/>
        <v/>
      </c>
    </row>
    <row r="340" spans="3:7" x14ac:dyDescent="0.3">
      <c r="C340" s="26" t="str">
        <f t="shared" si="26"/>
        <v/>
      </c>
      <c r="D340" s="27" t="str">
        <f t="shared" si="25"/>
        <v/>
      </c>
      <c r="E340" s="27" t="str">
        <f t="shared" si="27"/>
        <v/>
      </c>
      <c r="F340" s="28" t="str">
        <f t="shared" si="28"/>
        <v/>
      </c>
      <c r="G340" s="27" t="str">
        <f t="shared" si="29"/>
        <v/>
      </c>
    </row>
    <row r="341" spans="3:7" x14ac:dyDescent="0.3">
      <c r="C341" s="26" t="str">
        <f t="shared" si="26"/>
        <v/>
      </c>
      <c r="D341" s="27" t="str">
        <f t="shared" si="25"/>
        <v/>
      </c>
      <c r="E341" s="27" t="str">
        <f t="shared" si="27"/>
        <v/>
      </c>
      <c r="F341" s="28" t="str">
        <f t="shared" si="28"/>
        <v/>
      </c>
      <c r="G341" s="27" t="str">
        <f t="shared" si="29"/>
        <v/>
      </c>
    </row>
    <row r="342" spans="3:7" x14ac:dyDescent="0.3">
      <c r="C342" s="26" t="str">
        <f t="shared" si="26"/>
        <v/>
      </c>
      <c r="D342" s="27" t="str">
        <f t="shared" si="25"/>
        <v/>
      </c>
      <c r="E342" s="27" t="str">
        <f t="shared" si="27"/>
        <v/>
      </c>
      <c r="F342" s="28" t="str">
        <f t="shared" si="28"/>
        <v/>
      </c>
      <c r="G342" s="27" t="str">
        <f t="shared" si="29"/>
        <v/>
      </c>
    </row>
    <row r="343" spans="3:7" x14ac:dyDescent="0.3">
      <c r="C343" s="26" t="str">
        <f t="shared" si="26"/>
        <v/>
      </c>
      <c r="D343" s="27" t="str">
        <f t="shared" si="25"/>
        <v/>
      </c>
      <c r="E343" s="27" t="str">
        <f t="shared" si="27"/>
        <v/>
      </c>
      <c r="F343" s="28" t="str">
        <f t="shared" si="28"/>
        <v/>
      </c>
      <c r="G343" s="27" t="str">
        <f t="shared" si="29"/>
        <v/>
      </c>
    </row>
    <row r="344" spans="3:7" x14ac:dyDescent="0.3">
      <c r="C344" s="26" t="str">
        <f t="shared" si="26"/>
        <v/>
      </c>
      <c r="D344" s="27" t="str">
        <f t="shared" si="25"/>
        <v/>
      </c>
      <c r="E344" s="27" t="str">
        <f t="shared" si="27"/>
        <v/>
      </c>
      <c r="F344" s="28" t="str">
        <f t="shared" si="28"/>
        <v/>
      </c>
      <c r="G344" s="27" t="str">
        <f t="shared" si="29"/>
        <v/>
      </c>
    </row>
    <row r="345" spans="3:7" x14ac:dyDescent="0.3">
      <c r="C345" s="26" t="str">
        <f t="shared" si="26"/>
        <v/>
      </c>
      <c r="D345" s="27" t="str">
        <f t="shared" si="25"/>
        <v/>
      </c>
      <c r="E345" s="27" t="str">
        <f t="shared" si="27"/>
        <v/>
      </c>
      <c r="F345" s="28" t="str">
        <f t="shared" si="28"/>
        <v/>
      </c>
      <c r="G345" s="27" t="str">
        <f t="shared" si="29"/>
        <v/>
      </c>
    </row>
    <row r="346" spans="3:7" x14ac:dyDescent="0.3">
      <c r="C346" s="26" t="str">
        <f t="shared" si="26"/>
        <v/>
      </c>
      <c r="D346" s="27" t="str">
        <f t="shared" si="25"/>
        <v/>
      </c>
      <c r="E346" s="27" t="str">
        <f t="shared" si="27"/>
        <v/>
      </c>
      <c r="F346" s="28" t="str">
        <f t="shared" si="28"/>
        <v/>
      </c>
      <c r="G346" s="27" t="str">
        <f t="shared" si="29"/>
        <v/>
      </c>
    </row>
    <row r="347" spans="3:7" x14ac:dyDescent="0.3">
      <c r="C347" s="26" t="str">
        <f t="shared" si="26"/>
        <v/>
      </c>
      <c r="D347" s="27" t="str">
        <f t="shared" si="25"/>
        <v/>
      </c>
      <c r="E347" s="27" t="str">
        <f t="shared" si="27"/>
        <v/>
      </c>
      <c r="F347" s="28" t="str">
        <f t="shared" si="28"/>
        <v/>
      </c>
      <c r="G347" s="27" t="str">
        <f t="shared" si="29"/>
        <v/>
      </c>
    </row>
    <row r="348" spans="3:7" x14ac:dyDescent="0.3">
      <c r="C348" s="26" t="str">
        <f t="shared" si="26"/>
        <v/>
      </c>
      <c r="D348" s="27" t="str">
        <f t="shared" si="25"/>
        <v/>
      </c>
      <c r="E348" s="27" t="str">
        <f t="shared" si="27"/>
        <v/>
      </c>
      <c r="F348" s="28" t="str">
        <f t="shared" si="28"/>
        <v/>
      </c>
      <c r="G348" s="27" t="str">
        <f t="shared" si="29"/>
        <v/>
      </c>
    </row>
    <row r="349" spans="3:7" x14ac:dyDescent="0.3">
      <c r="C349" s="26" t="str">
        <f t="shared" si="26"/>
        <v/>
      </c>
      <c r="D349" s="27" t="str">
        <f t="shared" si="25"/>
        <v/>
      </c>
      <c r="E349" s="27" t="str">
        <f t="shared" si="27"/>
        <v/>
      </c>
      <c r="F349" s="28" t="str">
        <f t="shared" si="28"/>
        <v/>
      </c>
      <c r="G349" s="27" t="str">
        <f t="shared" si="29"/>
        <v/>
      </c>
    </row>
    <row r="350" spans="3:7" x14ac:dyDescent="0.3">
      <c r="C350" s="26" t="str">
        <f t="shared" si="26"/>
        <v/>
      </c>
      <c r="D350" s="27" t="str">
        <f t="shared" si="25"/>
        <v/>
      </c>
      <c r="E350" s="27" t="str">
        <f t="shared" si="27"/>
        <v/>
      </c>
      <c r="F350" s="28" t="str">
        <f t="shared" si="28"/>
        <v/>
      </c>
      <c r="G350" s="27" t="str">
        <f t="shared" si="29"/>
        <v/>
      </c>
    </row>
    <row r="351" spans="3:7" x14ac:dyDescent="0.3">
      <c r="C351" s="26" t="str">
        <f t="shared" si="26"/>
        <v/>
      </c>
      <c r="D351" s="27" t="str">
        <f t="shared" si="25"/>
        <v/>
      </c>
      <c r="E351" s="27" t="str">
        <f t="shared" si="27"/>
        <v/>
      </c>
      <c r="F351" s="28" t="str">
        <f t="shared" si="28"/>
        <v/>
      </c>
      <c r="G351" s="27" t="str">
        <f t="shared" si="29"/>
        <v/>
      </c>
    </row>
    <row r="352" spans="3:7" x14ac:dyDescent="0.3">
      <c r="C352" s="26" t="str">
        <f t="shared" si="26"/>
        <v/>
      </c>
      <c r="D352" s="27" t="str">
        <f t="shared" si="25"/>
        <v/>
      </c>
      <c r="E352" s="27" t="str">
        <f t="shared" si="27"/>
        <v/>
      </c>
      <c r="F352" s="28" t="str">
        <f t="shared" si="28"/>
        <v/>
      </c>
      <c r="G352" s="27" t="str">
        <f t="shared" si="29"/>
        <v/>
      </c>
    </row>
    <row r="353" spans="3:7" x14ac:dyDescent="0.3">
      <c r="C353" s="26" t="str">
        <f t="shared" si="26"/>
        <v/>
      </c>
      <c r="D353" s="27" t="str">
        <f t="shared" si="25"/>
        <v/>
      </c>
      <c r="E353" s="27" t="str">
        <f t="shared" si="27"/>
        <v/>
      </c>
      <c r="F353" s="28" t="str">
        <f t="shared" si="28"/>
        <v/>
      </c>
      <c r="G353" s="27" t="str">
        <f t="shared" si="29"/>
        <v/>
      </c>
    </row>
    <row r="354" spans="3:7" x14ac:dyDescent="0.3">
      <c r="C354" s="26" t="str">
        <f t="shared" si="26"/>
        <v/>
      </c>
      <c r="D354" s="27" t="str">
        <f t="shared" si="25"/>
        <v/>
      </c>
      <c r="E354" s="27" t="str">
        <f t="shared" si="27"/>
        <v/>
      </c>
      <c r="F354" s="28" t="str">
        <f t="shared" si="28"/>
        <v/>
      </c>
      <c r="G354" s="27" t="str">
        <f t="shared" si="29"/>
        <v/>
      </c>
    </row>
    <row r="355" spans="3:7" x14ac:dyDescent="0.3">
      <c r="C355" s="26" t="str">
        <f t="shared" si="26"/>
        <v/>
      </c>
      <c r="D355" s="27" t="str">
        <f t="shared" si="25"/>
        <v/>
      </c>
      <c r="E355" s="27" t="str">
        <f t="shared" si="27"/>
        <v/>
      </c>
      <c r="F355" s="28" t="str">
        <f t="shared" si="28"/>
        <v/>
      </c>
      <c r="G355" s="27" t="str">
        <f t="shared" si="29"/>
        <v/>
      </c>
    </row>
    <row r="356" spans="3:7" x14ac:dyDescent="0.3">
      <c r="C356" s="26" t="str">
        <f t="shared" si="26"/>
        <v/>
      </c>
      <c r="D356" s="27" t="str">
        <f t="shared" si="25"/>
        <v/>
      </c>
      <c r="E356" s="27" t="str">
        <f t="shared" si="27"/>
        <v/>
      </c>
      <c r="F356" s="28" t="str">
        <f t="shared" si="28"/>
        <v/>
      </c>
      <c r="G356" s="27" t="str">
        <f t="shared" si="29"/>
        <v/>
      </c>
    </row>
    <row r="357" spans="3:7" x14ac:dyDescent="0.3">
      <c r="C357" s="26" t="str">
        <f t="shared" si="26"/>
        <v/>
      </c>
      <c r="D357" s="27" t="str">
        <f t="shared" si="25"/>
        <v/>
      </c>
      <c r="E357" s="27" t="str">
        <f t="shared" si="27"/>
        <v/>
      </c>
      <c r="F357" s="28" t="str">
        <f t="shared" si="28"/>
        <v/>
      </c>
      <c r="G357" s="27" t="str">
        <f t="shared" si="29"/>
        <v/>
      </c>
    </row>
    <row r="358" spans="3:7" x14ac:dyDescent="0.3">
      <c r="C358" s="26" t="str">
        <f t="shared" si="26"/>
        <v/>
      </c>
      <c r="D358" s="27" t="str">
        <f t="shared" si="25"/>
        <v/>
      </c>
      <c r="E358" s="27" t="str">
        <f t="shared" si="27"/>
        <v/>
      </c>
      <c r="F358" s="28" t="str">
        <f t="shared" si="28"/>
        <v/>
      </c>
      <c r="G358" s="27" t="str">
        <f t="shared" si="29"/>
        <v/>
      </c>
    </row>
    <row r="359" spans="3:7" x14ac:dyDescent="0.3">
      <c r="C359" s="26" t="str">
        <f t="shared" si="26"/>
        <v/>
      </c>
      <c r="D359" s="27" t="str">
        <f t="shared" si="25"/>
        <v/>
      </c>
      <c r="E359" s="27" t="str">
        <f t="shared" si="27"/>
        <v/>
      </c>
      <c r="F359" s="28" t="str">
        <f t="shared" si="28"/>
        <v/>
      </c>
      <c r="G359" s="27" t="str">
        <f t="shared" si="29"/>
        <v/>
      </c>
    </row>
    <row r="360" spans="3:7" x14ac:dyDescent="0.3">
      <c r="C360" s="26" t="str">
        <f t="shared" si="26"/>
        <v/>
      </c>
      <c r="D360" s="27" t="str">
        <f t="shared" si="25"/>
        <v/>
      </c>
      <c r="E360" s="27" t="str">
        <f t="shared" si="27"/>
        <v/>
      </c>
      <c r="F360" s="28" t="str">
        <f t="shared" si="28"/>
        <v/>
      </c>
      <c r="G360" s="27" t="str">
        <f t="shared" si="29"/>
        <v/>
      </c>
    </row>
    <row r="361" spans="3:7" x14ac:dyDescent="0.3">
      <c r="C361" s="26" t="str">
        <f t="shared" si="26"/>
        <v/>
      </c>
      <c r="D361" s="27" t="str">
        <f t="shared" si="25"/>
        <v/>
      </c>
      <c r="E361" s="27" t="str">
        <f t="shared" si="27"/>
        <v/>
      </c>
      <c r="F361" s="28" t="str">
        <f t="shared" si="28"/>
        <v/>
      </c>
      <c r="G361" s="27" t="str">
        <f t="shared" si="29"/>
        <v/>
      </c>
    </row>
    <row r="362" spans="3:7" x14ac:dyDescent="0.3">
      <c r="C362" s="26" t="str">
        <f t="shared" si="26"/>
        <v/>
      </c>
      <c r="D362" s="27" t="str">
        <f t="shared" si="25"/>
        <v/>
      </c>
      <c r="E362" s="27" t="str">
        <f t="shared" si="27"/>
        <v/>
      </c>
      <c r="F362" s="28" t="str">
        <f t="shared" si="28"/>
        <v/>
      </c>
      <c r="G362" s="27" t="str">
        <f t="shared" si="29"/>
        <v/>
      </c>
    </row>
    <row r="363" spans="3:7" x14ac:dyDescent="0.3">
      <c r="C363" s="26" t="str">
        <f t="shared" si="26"/>
        <v/>
      </c>
      <c r="D363" s="27" t="str">
        <f t="shared" si="25"/>
        <v/>
      </c>
      <c r="E363" s="27" t="str">
        <f t="shared" si="27"/>
        <v/>
      </c>
      <c r="F363" s="28" t="str">
        <f t="shared" si="28"/>
        <v/>
      </c>
      <c r="G363" s="27" t="str">
        <f t="shared" si="29"/>
        <v/>
      </c>
    </row>
    <row r="364" spans="3:7" x14ac:dyDescent="0.3">
      <c r="C364" s="26" t="str">
        <f t="shared" si="26"/>
        <v/>
      </c>
      <c r="D364" s="27" t="str">
        <f t="shared" si="25"/>
        <v/>
      </c>
      <c r="E364" s="27" t="str">
        <f t="shared" si="27"/>
        <v/>
      </c>
      <c r="F364" s="28" t="str">
        <f t="shared" si="28"/>
        <v/>
      </c>
      <c r="G364" s="27" t="str">
        <f t="shared" si="29"/>
        <v/>
      </c>
    </row>
    <row r="365" spans="3:7" x14ac:dyDescent="0.3">
      <c r="C365" s="26" t="str">
        <f t="shared" si="26"/>
        <v/>
      </c>
      <c r="D365" s="27" t="str">
        <f t="shared" si="25"/>
        <v/>
      </c>
      <c r="E365" s="27" t="str">
        <f t="shared" si="27"/>
        <v/>
      </c>
      <c r="F365" s="28" t="str">
        <f t="shared" si="28"/>
        <v/>
      </c>
      <c r="G365" s="27" t="str">
        <f t="shared" si="29"/>
        <v/>
      </c>
    </row>
    <row r="366" spans="3:7" x14ac:dyDescent="0.3">
      <c r="C366" s="26" t="str">
        <f t="shared" si="26"/>
        <v/>
      </c>
      <c r="D366" s="27" t="str">
        <f t="shared" si="25"/>
        <v/>
      </c>
      <c r="E366" s="27" t="str">
        <f t="shared" si="27"/>
        <v/>
      </c>
      <c r="F366" s="28" t="str">
        <f t="shared" si="28"/>
        <v/>
      </c>
      <c r="G366" s="27" t="str">
        <f t="shared" si="29"/>
        <v/>
      </c>
    </row>
    <row r="367" spans="3:7" x14ac:dyDescent="0.3">
      <c r="C367" s="26" t="str">
        <f t="shared" si="26"/>
        <v/>
      </c>
      <c r="D367" s="27" t="str">
        <f t="shared" si="25"/>
        <v/>
      </c>
      <c r="E367" s="27" t="str">
        <f t="shared" si="27"/>
        <v/>
      </c>
      <c r="F367" s="28" t="str">
        <f t="shared" si="28"/>
        <v/>
      </c>
      <c r="G367" s="27" t="str">
        <f t="shared" si="29"/>
        <v/>
      </c>
    </row>
    <row r="368" spans="3:7" x14ac:dyDescent="0.3">
      <c r="C368" s="26" t="str">
        <f t="shared" si="26"/>
        <v/>
      </c>
      <c r="D368" s="27" t="str">
        <f t="shared" si="25"/>
        <v/>
      </c>
      <c r="E368" s="27" t="str">
        <f t="shared" si="27"/>
        <v/>
      </c>
      <c r="F368" s="28" t="str">
        <f t="shared" si="28"/>
        <v/>
      </c>
      <c r="G368" s="27" t="str">
        <f t="shared" si="29"/>
        <v/>
      </c>
    </row>
    <row r="369" spans="3:7" x14ac:dyDescent="0.3">
      <c r="C369" s="26" t="str">
        <f t="shared" si="26"/>
        <v/>
      </c>
      <c r="D369" s="27" t="str">
        <f t="shared" si="25"/>
        <v/>
      </c>
      <c r="E369" s="27" t="str">
        <f t="shared" si="27"/>
        <v/>
      </c>
      <c r="F369" s="28" t="str">
        <f t="shared" si="28"/>
        <v/>
      </c>
      <c r="G369" s="27" t="str">
        <f t="shared" si="29"/>
        <v/>
      </c>
    </row>
    <row r="370" spans="3:7" x14ac:dyDescent="0.3">
      <c r="C370" s="26" t="str">
        <f t="shared" si="26"/>
        <v/>
      </c>
      <c r="D370" s="27" t="str">
        <f t="shared" si="25"/>
        <v/>
      </c>
      <c r="E370" s="27" t="str">
        <f t="shared" si="27"/>
        <v/>
      </c>
      <c r="F370" s="28" t="str">
        <f t="shared" si="28"/>
        <v/>
      </c>
      <c r="G370" s="27" t="str">
        <f t="shared" si="29"/>
        <v/>
      </c>
    </row>
    <row r="371" spans="3:7" x14ac:dyDescent="0.3">
      <c r="C371" s="26" t="str">
        <f t="shared" si="26"/>
        <v/>
      </c>
      <c r="D371" s="27" t="str">
        <f t="shared" si="25"/>
        <v/>
      </c>
      <c r="E371" s="27" t="str">
        <f t="shared" si="27"/>
        <v/>
      </c>
      <c r="F371" s="28" t="str">
        <f t="shared" si="28"/>
        <v/>
      </c>
      <c r="G371" s="27" t="str">
        <f t="shared" si="29"/>
        <v/>
      </c>
    </row>
    <row r="372" spans="3:7" x14ac:dyDescent="0.3">
      <c r="C372" s="26" t="str">
        <f t="shared" si="26"/>
        <v/>
      </c>
      <c r="D372" s="27" t="str">
        <f t="shared" si="25"/>
        <v/>
      </c>
      <c r="E372" s="27" t="str">
        <f t="shared" si="27"/>
        <v/>
      </c>
      <c r="F372" s="28" t="str">
        <f t="shared" si="28"/>
        <v/>
      </c>
      <c r="G372" s="27" t="str">
        <f t="shared" si="29"/>
        <v/>
      </c>
    </row>
    <row r="373" spans="3:7" x14ac:dyDescent="0.3">
      <c r="C373" s="26" t="str">
        <f t="shared" si="26"/>
        <v/>
      </c>
      <c r="D373" s="27" t="str">
        <f t="shared" si="25"/>
        <v/>
      </c>
      <c r="E373" s="27" t="str">
        <f t="shared" si="27"/>
        <v/>
      </c>
      <c r="F373" s="28" t="str">
        <f t="shared" si="28"/>
        <v/>
      </c>
      <c r="G373" s="27" t="str">
        <f t="shared" si="29"/>
        <v/>
      </c>
    </row>
    <row r="374" spans="3:7" x14ac:dyDescent="0.3">
      <c r="C374" s="26" t="str">
        <f t="shared" si="26"/>
        <v/>
      </c>
      <c r="D374" s="27" t="str">
        <f t="shared" si="25"/>
        <v/>
      </c>
      <c r="E374" s="27" t="str">
        <f t="shared" si="27"/>
        <v/>
      </c>
      <c r="F374" s="28" t="str">
        <f t="shared" si="28"/>
        <v/>
      </c>
      <c r="G374" s="27" t="str">
        <f t="shared" si="29"/>
        <v/>
      </c>
    </row>
    <row r="375" spans="3:7" x14ac:dyDescent="0.3">
      <c r="C375" s="26" t="str">
        <f t="shared" si="26"/>
        <v/>
      </c>
      <c r="D375" s="27" t="str">
        <f t="shared" si="25"/>
        <v/>
      </c>
      <c r="E375" s="27" t="str">
        <f t="shared" si="27"/>
        <v/>
      </c>
      <c r="F375" s="28" t="str">
        <f t="shared" si="28"/>
        <v/>
      </c>
      <c r="G375" s="27" t="str">
        <f t="shared" si="29"/>
        <v/>
      </c>
    </row>
    <row r="376" spans="3:7" x14ac:dyDescent="0.3">
      <c r="C376" s="26" t="str">
        <f t="shared" si="26"/>
        <v/>
      </c>
      <c r="D376" s="27" t="str">
        <f t="shared" si="25"/>
        <v/>
      </c>
      <c r="E376" s="27" t="str">
        <f t="shared" si="27"/>
        <v/>
      </c>
      <c r="F376" s="28" t="str">
        <f t="shared" si="28"/>
        <v/>
      </c>
      <c r="G376" s="27" t="str">
        <f t="shared" si="29"/>
        <v/>
      </c>
    </row>
    <row r="377" spans="3:7" x14ac:dyDescent="0.3">
      <c r="C377" s="26" t="str">
        <f t="shared" si="26"/>
        <v/>
      </c>
      <c r="D377" s="27" t="str">
        <f t="shared" si="25"/>
        <v/>
      </c>
      <c r="E377" s="27" t="str">
        <f t="shared" si="27"/>
        <v/>
      </c>
      <c r="F377" s="28" t="str">
        <f t="shared" si="28"/>
        <v/>
      </c>
      <c r="G377" s="27" t="str">
        <f t="shared" si="29"/>
        <v/>
      </c>
    </row>
    <row r="378" spans="3:7" x14ac:dyDescent="0.3">
      <c r="C378" s="26" t="str">
        <f t="shared" si="26"/>
        <v/>
      </c>
      <c r="D378" s="27" t="str">
        <f t="shared" si="25"/>
        <v/>
      </c>
      <c r="E378" s="27" t="str">
        <f t="shared" si="27"/>
        <v/>
      </c>
      <c r="F378" s="28" t="str">
        <f t="shared" si="28"/>
        <v/>
      </c>
      <c r="G378" s="27" t="str">
        <f t="shared" si="29"/>
        <v/>
      </c>
    </row>
    <row r="379" spans="3:7" x14ac:dyDescent="0.3">
      <c r="C379" s="26" t="str">
        <f t="shared" si="26"/>
        <v/>
      </c>
      <c r="D379" s="27" t="str">
        <f t="shared" si="25"/>
        <v/>
      </c>
      <c r="E379" s="27" t="str">
        <f t="shared" si="27"/>
        <v/>
      </c>
      <c r="F379" s="28" t="str">
        <f t="shared" si="28"/>
        <v/>
      </c>
      <c r="G379" s="27" t="str">
        <f t="shared" si="29"/>
        <v/>
      </c>
    </row>
    <row r="380" spans="3:7" x14ac:dyDescent="0.3">
      <c r="C380" s="26" t="str">
        <f t="shared" si="26"/>
        <v/>
      </c>
      <c r="D380" s="27" t="str">
        <f t="shared" si="25"/>
        <v/>
      </c>
      <c r="E380" s="27" t="str">
        <f t="shared" si="27"/>
        <v/>
      </c>
      <c r="F380" s="28" t="str">
        <f t="shared" si="28"/>
        <v/>
      </c>
      <c r="G380" s="27" t="str">
        <f t="shared" si="29"/>
        <v/>
      </c>
    </row>
    <row r="381" spans="3:7" x14ac:dyDescent="0.3">
      <c r="C381" s="26" t="str">
        <f t="shared" si="26"/>
        <v/>
      </c>
      <c r="D381" s="27" t="str">
        <f t="shared" si="25"/>
        <v/>
      </c>
      <c r="E381" s="27" t="str">
        <f t="shared" si="27"/>
        <v/>
      </c>
      <c r="F381" s="28" t="str">
        <f t="shared" si="28"/>
        <v/>
      </c>
      <c r="G381" s="27" t="str">
        <f t="shared" si="29"/>
        <v/>
      </c>
    </row>
    <row r="382" spans="3:7" x14ac:dyDescent="0.3">
      <c r="C382" s="26" t="str">
        <f t="shared" si="26"/>
        <v/>
      </c>
      <c r="D382" s="27" t="str">
        <f t="shared" si="25"/>
        <v/>
      </c>
      <c r="E382" s="27" t="str">
        <f t="shared" si="27"/>
        <v/>
      </c>
      <c r="F382" s="28" t="str">
        <f t="shared" si="28"/>
        <v/>
      </c>
      <c r="G382" s="27" t="str">
        <f t="shared" si="29"/>
        <v/>
      </c>
    </row>
    <row r="383" spans="3:7" x14ac:dyDescent="0.3">
      <c r="C383" s="26" t="str">
        <f t="shared" si="26"/>
        <v/>
      </c>
      <c r="D383" s="27" t="str">
        <f t="shared" si="25"/>
        <v/>
      </c>
      <c r="E383" s="27" t="str">
        <f t="shared" si="27"/>
        <v/>
      </c>
      <c r="F383" s="28" t="str">
        <f t="shared" si="28"/>
        <v/>
      </c>
      <c r="G383" s="27" t="str">
        <f t="shared" si="29"/>
        <v/>
      </c>
    </row>
    <row r="384" spans="3:7" x14ac:dyDescent="0.3">
      <c r="C384" s="26" t="str">
        <f t="shared" si="26"/>
        <v/>
      </c>
      <c r="D384" s="27" t="str">
        <f t="shared" si="25"/>
        <v/>
      </c>
      <c r="E384" s="27" t="str">
        <f t="shared" si="27"/>
        <v/>
      </c>
      <c r="F384" s="28" t="str">
        <f t="shared" si="28"/>
        <v/>
      </c>
      <c r="G384" s="27" t="str">
        <f t="shared" si="29"/>
        <v/>
      </c>
    </row>
    <row r="385" spans="3:7" x14ac:dyDescent="0.3">
      <c r="C385" s="26" t="str">
        <f t="shared" si="26"/>
        <v/>
      </c>
      <c r="D385" s="27" t="str">
        <f t="shared" si="25"/>
        <v/>
      </c>
      <c r="E385" s="27" t="str">
        <f t="shared" si="27"/>
        <v/>
      </c>
      <c r="F385" s="28" t="str">
        <f t="shared" si="28"/>
        <v/>
      </c>
      <c r="G385" s="27" t="str">
        <f t="shared" si="29"/>
        <v/>
      </c>
    </row>
    <row r="386" spans="3:7" x14ac:dyDescent="0.3">
      <c r="C386" s="26" t="str">
        <f t="shared" si="26"/>
        <v/>
      </c>
      <c r="D386" s="27" t="str">
        <f t="shared" si="25"/>
        <v/>
      </c>
      <c r="E386" s="27" t="str">
        <f t="shared" si="27"/>
        <v/>
      </c>
      <c r="F386" s="28" t="str">
        <f t="shared" si="28"/>
        <v/>
      </c>
      <c r="G386" s="27" t="str">
        <f t="shared" si="29"/>
        <v/>
      </c>
    </row>
    <row r="387" spans="3:7" x14ac:dyDescent="0.3">
      <c r="C387" s="26" t="str">
        <f t="shared" si="26"/>
        <v/>
      </c>
      <c r="D387" s="27" t="str">
        <f t="shared" si="25"/>
        <v/>
      </c>
      <c r="E387" s="27" t="str">
        <f t="shared" si="27"/>
        <v/>
      </c>
      <c r="F387" s="28" t="str">
        <f t="shared" si="28"/>
        <v/>
      </c>
      <c r="G387" s="27" t="str">
        <f t="shared" si="29"/>
        <v/>
      </c>
    </row>
    <row r="388" spans="3:7" x14ac:dyDescent="0.3">
      <c r="C388" s="26" t="str">
        <f t="shared" si="26"/>
        <v/>
      </c>
      <c r="D388" s="27" t="str">
        <f t="shared" si="25"/>
        <v/>
      </c>
      <c r="E388" s="27" t="str">
        <f t="shared" si="27"/>
        <v/>
      </c>
      <c r="F388" s="28" t="str">
        <f t="shared" si="28"/>
        <v/>
      </c>
      <c r="G388" s="27" t="str">
        <f t="shared" si="29"/>
        <v/>
      </c>
    </row>
    <row r="389" spans="3:7" x14ac:dyDescent="0.3">
      <c r="C389" s="26" t="str">
        <f t="shared" si="26"/>
        <v/>
      </c>
      <c r="D389" s="27" t="str">
        <f t="shared" si="25"/>
        <v/>
      </c>
      <c r="E389" s="27" t="str">
        <f t="shared" si="27"/>
        <v/>
      </c>
      <c r="F389" s="28" t="str">
        <f t="shared" si="28"/>
        <v/>
      </c>
      <c r="G389" s="27" t="str">
        <f t="shared" si="29"/>
        <v/>
      </c>
    </row>
    <row r="390" spans="3:7" x14ac:dyDescent="0.3">
      <c r="C390" s="26" t="str">
        <f t="shared" si="26"/>
        <v/>
      </c>
      <c r="D390" s="27" t="str">
        <f t="shared" si="25"/>
        <v/>
      </c>
      <c r="E390" s="27" t="str">
        <f t="shared" si="27"/>
        <v/>
      </c>
      <c r="F390" s="28" t="str">
        <f t="shared" si="28"/>
        <v/>
      </c>
      <c r="G390" s="27" t="str">
        <f t="shared" si="29"/>
        <v/>
      </c>
    </row>
    <row r="391" spans="3:7" x14ac:dyDescent="0.3">
      <c r="C391" s="26" t="str">
        <f t="shared" si="26"/>
        <v/>
      </c>
      <c r="D391" s="27" t="str">
        <f t="shared" si="25"/>
        <v/>
      </c>
      <c r="E391" s="27" t="str">
        <f t="shared" si="27"/>
        <v/>
      </c>
      <c r="F391" s="28" t="str">
        <f t="shared" si="28"/>
        <v/>
      </c>
      <c r="G391" s="27" t="str">
        <f t="shared" si="29"/>
        <v/>
      </c>
    </row>
    <row r="392" spans="3:7" x14ac:dyDescent="0.3">
      <c r="C392" s="26" t="str">
        <f t="shared" si="26"/>
        <v/>
      </c>
      <c r="D392" s="27" t="str">
        <f t="shared" si="25"/>
        <v/>
      </c>
      <c r="E392" s="27" t="str">
        <f t="shared" si="27"/>
        <v/>
      </c>
      <c r="F392" s="28" t="str">
        <f t="shared" si="28"/>
        <v/>
      </c>
      <c r="G392" s="27" t="str">
        <f t="shared" si="29"/>
        <v/>
      </c>
    </row>
    <row r="393" spans="3:7" x14ac:dyDescent="0.3">
      <c r="C393" s="26" t="str">
        <f t="shared" si="26"/>
        <v/>
      </c>
      <c r="D393" s="27" t="str">
        <f t="shared" si="25"/>
        <v/>
      </c>
      <c r="E393" s="27" t="str">
        <f t="shared" si="27"/>
        <v/>
      </c>
      <c r="F393" s="28" t="str">
        <f t="shared" si="28"/>
        <v/>
      </c>
      <c r="G393" s="27" t="str">
        <f t="shared" si="29"/>
        <v/>
      </c>
    </row>
    <row r="394" spans="3:7" x14ac:dyDescent="0.3">
      <c r="C394" s="26" t="str">
        <f t="shared" si="26"/>
        <v/>
      </c>
      <c r="D394" s="27" t="str">
        <f t="shared" si="25"/>
        <v/>
      </c>
      <c r="E394" s="27" t="str">
        <f t="shared" si="27"/>
        <v/>
      </c>
      <c r="F394" s="28" t="str">
        <f t="shared" si="28"/>
        <v/>
      </c>
      <c r="G394" s="27" t="str">
        <f t="shared" si="29"/>
        <v/>
      </c>
    </row>
    <row r="395" spans="3:7" x14ac:dyDescent="0.3">
      <c r="C395" s="26" t="str">
        <f t="shared" si="26"/>
        <v/>
      </c>
      <c r="D395" s="27" t="str">
        <f t="shared" si="25"/>
        <v/>
      </c>
      <c r="E395" s="27" t="str">
        <f t="shared" si="27"/>
        <v/>
      </c>
      <c r="F395" s="28" t="str">
        <f t="shared" si="28"/>
        <v/>
      </c>
      <c r="G395" s="27" t="str">
        <f t="shared" si="29"/>
        <v/>
      </c>
    </row>
    <row r="396" spans="3:7" x14ac:dyDescent="0.3">
      <c r="C396" s="26" t="str">
        <f t="shared" si="26"/>
        <v/>
      </c>
      <c r="D396" s="27" t="str">
        <f t="shared" si="25"/>
        <v/>
      </c>
      <c r="E396" s="27" t="str">
        <f t="shared" si="27"/>
        <v/>
      </c>
      <c r="F396" s="28" t="str">
        <f t="shared" si="28"/>
        <v/>
      </c>
      <c r="G396" s="27" t="str">
        <f t="shared" si="29"/>
        <v/>
      </c>
    </row>
    <row r="397" spans="3:7" x14ac:dyDescent="0.3">
      <c r="C397" s="26" t="str">
        <f t="shared" si="26"/>
        <v/>
      </c>
      <c r="D397" s="27" t="str">
        <f t="shared" si="25"/>
        <v/>
      </c>
      <c r="E397" s="27" t="str">
        <f t="shared" si="27"/>
        <v/>
      </c>
      <c r="F397" s="28" t="str">
        <f t="shared" si="28"/>
        <v/>
      </c>
      <c r="G397" s="27" t="str">
        <f t="shared" si="29"/>
        <v/>
      </c>
    </row>
    <row r="398" spans="3:7" x14ac:dyDescent="0.3">
      <c r="C398" s="26" t="str">
        <f t="shared" si="26"/>
        <v/>
      </c>
      <c r="D398" s="27" t="str">
        <f t="shared" ref="D398:D400" si="30">IF(C398&gt;$D$9,"",PMT($D$7,$D$9,$D$3)*-1)</f>
        <v/>
      </c>
      <c r="E398" s="27" t="str">
        <f t="shared" si="27"/>
        <v/>
      </c>
      <c r="F398" s="28" t="str">
        <f t="shared" si="28"/>
        <v/>
      </c>
      <c r="G398" s="27" t="str">
        <f t="shared" si="29"/>
        <v/>
      </c>
    </row>
    <row r="399" spans="3:7" x14ac:dyDescent="0.3">
      <c r="C399" s="26" t="str">
        <f t="shared" ref="C399:C400" si="31">IF(OR(C398=$D$9,C398=""),"",IF(ISNUMBER(C398),C398+1,1))</f>
        <v/>
      </c>
      <c r="D399" s="27" t="str">
        <f t="shared" si="30"/>
        <v/>
      </c>
      <c r="E399" s="27" t="str">
        <f t="shared" ref="E399:E400" si="32">IF(C399&gt;$D$9,"",$D$7*G398)</f>
        <v/>
      </c>
      <c r="F399" s="28" t="str">
        <f t="shared" ref="F399:F400" si="33">IF(C399&gt;$D$9,"",D399-E399)</f>
        <v/>
      </c>
      <c r="G399" s="27" t="str">
        <f t="shared" ref="G399:G400" si="34">IF(C399&gt;$D$9,"",G398-F399)</f>
        <v/>
      </c>
    </row>
    <row r="400" spans="3:7" x14ac:dyDescent="0.3">
      <c r="C400" s="26" t="str">
        <f t="shared" si="31"/>
        <v/>
      </c>
      <c r="D400" s="27" t="str">
        <f t="shared" si="30"/>
        <v/>
      </c>
      <c r="E400" s="27" t="str">
        <f t="shared" si="32"/>
        <v/>
      </c>
      <c r="F400" s="28" t="str">
        <f t="shared" si="33"/>
        <v/>
      </c>
      <c r="G400" s="27" t="str">
        <f t="shared" si="34"/>
        <v/>
      </c>
    </row>
    <row r="401" spans="3:7" x14ac:dyDescent="0.3">
      <c r="C401" s="21"/>
      <c r="D401" s="32"/>
      <c r="E401" s="32"/>
      <c r="F401" s="32"/>
      <c r="G401" s="32"/>
    </row>
    <row r="402" spans="3:7" x14ac:dyDescent="0.3">
      <c r="C402" s="21"/>
      <c r="D402" s="32"/>
      <c r="E402" s="32"/>
      <c r="F402" s="32"/>
      <c r="G402" s="32"/>
    </row>
    <row r="403" spans="3:7" x14ac:dyDescent="0.3">
      <c r="C403" s="21"/>
      <c r="D403" s="32"/>
      <c r="E403" s="32"/>
      <c r="F403" s="32"/>
      <c r="G403" s="32"/>
    </row>
    <row r="404" spans="3:7" x14ac:dyDescent="0.3">
      <c r="C404" s="21"/>
      <c r="D404" s="32"/>
      <c r="E404" s="32"/>
      <c r="F404" s="32"/>
      <c r="G404" s="32"/>
    </row>
    <row r="405" spans="3:7" x14ac:dyDescent="0.3">
      <c r="C405" s="21"/>
      <c r="D405" s="32"/>
      <c r="E405" s="32"/>
      <c r="F405" s="32"/>
      <c r="G405" s="32"/>
    </row>
    <row r="406" spans="3:7" x14ac:dyDescent="0.3">
      <c r="C406" s="21"/>
      <c r="D406" s="32"/>
      <c r="E406" s="32"/>
      <c r="F406" s="32"/>
      <c r="G406" s="32"/>
    </row>
    <row r="407" spans="3:7" x14ac:dyDescent="0.3">
      <c r="C407" s="21"/>
      <c r="D407" s="32"/>
      <c r="E407" s="32"/>
      <c r="F407" s="32"/>
      <c r="G407" s="32"/>
    </row>
    <row r="408" spans="3:7" x14ac:dyDescent="0.3">
      <c r="C408" s="21"/>
      <c r="D408" s="32"/>
      <c r="E408" s="32"/>
      <c r="F408" s="32"/>
      <c r="G408" s="32"/>
    </row>
    <row r="409" spans="3:7" x14ac:dyDescent="0.3">
      <c r="C409" s="21"/>
      <c r="D409" s="32"/>
      <c r="E409" s="32"/>
      <c r="F409" s="32"/>
      <c r="G409" s="32"/>
    </row>
    <row r="410" spans="3:7" x14ac:dyDescent="0.3">
      <c r="C410" s="21"/>
      <c r="D410" s="32"/>
      <c r="E410" s="32"/>
      <c r="F410" s="32"/>
      <c r="G410" s="32"/>
    </row>
    <row r="411" spans="3:7" x14ac:dyDescent="0.3">
      <c r="C411" s="21"/>
      <c r="D411" s="32"/>
      <c r="E411" s="32"/>
      <c r="F411" s="32"/>
      <c r="G411" s="32"/>
    </row>
    <row r="412" spans="3:7" x14ac:dyDescent="0.3">
      <c r="C412" s="21"/>
      <c r="D412" s="32"/>
      <c r="E412" s="32"/>
      <c r="F412" s="32"/>
      <c r="G412" s="32"/>
    </row>
    <row r="413" spans="3:7" x14ac:dyDescent="0.3">
      <c r="C413" s="21"/>
      <c r="D413" s="32"/>
      <c r="E413" s="32"/>
      <c r="F413" s="32"/>
      <c r="G413" s="32"/>
    </row>
    <row r="414" spans="3:7" x14ac:dyDescent="0.3">
      <c r="C414" s="21"/>
      <c r="D414" s="32"/>
      <c r="E414" s="32"/>
      <c r="F414" s="32"/>
      <c r="G414" s="32"/>
    </row>
    <row r="415" spans="3:7" x14ac:dyDescent="0.3">
      <c r="C415" s="21"/>
      <c r="D415" s="32"/>
      <c r="E415" s="32"/>
      <c r="F415" s="32"/>
      <c r="G415" s="32"/>
    </row>
    <row r="416" spans="3:7" x14ac:dyDescent="0.3">
      <c r="C416" s="21"/>
      <c r="D416" s="32"/>
      <c r="E416" s="32"/>
      <c r="F416" s="32"/>
      <c r="G416" s="32"/>
    </row>
    <row r="417" spans="3:7" x14ac:dyDescent="0.3">
      <c r="C417" s="21"/>
      <c r="D417" s="32"/>
      <c r="E417" s="32"/>
      <c r="F417" s="32"/>
      <c r="G417" s="32"/>
    </row>
    <row r="418" spans="3:7" x14ac:dyDescent="0.3">
      <c r="C418" s="21"/>
      <c r="D418" s="32"/>
      <c r="E418" s="32"/>
      <c r="F418" s="32"/>
      <c r="G418" s="32"/>
    </row>
    <row r="419" spans="3:7" x14ac:dyDescent="0.3">
      <c r="C419" s="21"/>
      <c r="D419" s="32"/>
      <c r="E419" s="32"/>
      <c r="F419" s="32"/>
      <c r="G419" s="32"/>
    </row>
    <row r="420" spans="3:7" x14ac:dyDescent="0.3">
      <c r="C420" s="21"/>
      <c r="D420" s="32"/>
      <c r="E420" s="32"/>
      <c r="F420" s="32"/>
      <c r="G420" s="32"/>
    </row>
    <row r="421" spans="3:7" x14ac:dyDescent="0.3">
      <c r="C421" s="21"/>
      <c r="D421" s="32"/>
      <c r="E421" s="32"/>
      <c r="F421" s="32"/>
      <c r="G421" s="32"/>
    </row>
    <row r="422" spans="3:7" x14ac:dyDescent="0.3">
      <c r="C422" s="21"/>
      <c r="D422" s="32"/>
      <c r="E422" s="32"/>
      <c r="F422" s="32"/>
      <c r="G422" s="32"/>
    </row>
    <row r="423" spans="3:7" x14ac:dyDescent="0.3">
      <c r="C423" s="21"/>
      <c r="D423" s="32"/>
      <c r="E423" s="32"/>
      <c r="F423" s="32"/>
      <c r="G423" s="32"/>
    </row>
    <row r="424" spans="3:7" x14ac:dyDescent="0.3">
      <c r="C424" s="21"/>
      <c r="D424" s="32"/>
      <c r="E424" s="32"/>
      <c r="F424" s="32"/>
      <c r="G424" s="32"/>
    </row>
    <row r="425" spans="3:7" x14ac:dyDescent="0.3">
      <c r="C425" s="21"/>
      <c r="D425" s="32"/>
      <c r="E425" s="32"/>
      <c r="F425" s="32"/>
      <c r="G425" s="32"/>
    </row>
    <row r="426" spans="3:7" x14ac:dyDescent="0.3">
      <c r="C426" s="21"/>
      <c r="D426" s="32"/>
      <c r="E426" s="32"/>
      <c r="F426" s="32"/>
      <c r="G426" s="32"/>
    </row>
    <row r="427" spans="3:7" x14ac:dyDescent="0.3">
      <c r="C427" s="21"/>
      <c r="D427" s="32"/>
      <c r="E427" s="32"/>
      <c r="F427" s="32"/>
      <c r="G427" s="32"/>
    </row>
    <row r="428" spans="3:7" x14ac:dyDescent="0.3">
      <c r="C428" s="21"/>
      <c r="D428" s="32"/>
      <c r="E428" s="32"/>
      <c r="F428" s="32"/>
      <c r="G428" s="32"/>
    </row>
    <row r="429" spans="3:7" x14ac:dyDescent="0.3">
      <c r="C429" s="21"/>
      <c r="D429" s="32"/>
      <c r="E429" s="32"/>
      <c r="F429" s="32"/>
      <c r="G429" s="32"/>
    </row>
    <row r="430" spans="3:7" x14ac:dyDescent="0.3">
      <c r="C430" s="21"/>
      <c r="D430" s="32"/>
      <c r="E430" s="32"/>
      <c r="F430" s="32"/>
      <c r="G430" s="32"/>
    </row>
    <row r="431" spans="3:7" x14ac:dyDescent="0.3">
      <c r="C431" s="21"/>
      <c r="D431" s="32"/>
      <c r="E431" s="32"/>
      <c r="F431" s="32"/>
      <c r="G431" s="32"/>
    </row>
    <row r="432" spans="3:7" x14ac:dyDescent="0.3">
      <c r="C432" s="21"/>
      <c r="D432" s="32"/>
      <c r="E432" s="32"/>
      <c r="F432" s="32"/>
      <c r="G432" s="32"/>
    </row>
    <row r="433" spans="3:7" x14ac:dyDescent="0.3">
      <c r="C433" s="21"/>
      <c r="D433" s="32"/>
      <c r="E433" s="32"/>
      <c r="F433" s="32"/>
      <c r="G433" s="32"/>
    </row>
    <row r="434" spans="3:7" x14ac:dyDescent="0.3">
      <c r="C434" s="21"/>
      <c r="D434" s="32"/>
      <c r="E434" s="32"/>
      <c r="F434" s="32"/>
      <c r="G434" s="32"/>
    </row>
    <row r="435" spans="3:7" x14ac:dyDescent="0.3">
      <c r="C435" s="21"/>
      <c r="D435" s="32"/>
      <c r="E435" s="32"/>
      <c r="F435" s="32"/>
      <c r="G435" s="32"/>
    </row>
    <row r="436" spans="3:7" x14ac:dyDescent="0.3">
      <c r="C436" s="21"/>
      <c r="D436" s="32"/>
      <c r="E436" s="32"/>
      <c r="F436" s="32"/>
      <c r="G436" s="32"/>
    </row>
    <row r="437" spans="3:7" x14ac:dyDescent="0.3">
      <c r="C437" s="21"/>
      <c r="D437" s="32"/>
      <c r="E437" s="32"/>
      <c r="F437" s="32"/>
      <c r="G437" s="32"/>
    </row>
    <row r="438" spans="3:7" x14ac:dyDescent="0.3">
      <c r="C438" s="21"/>
      <c r="D438" s="32"/>
      <c r="E438" s="32"/>
      <c r="F438" s="32"/>
      <c r="G438" s="32"/>
    </row>
    <row r="439" spans="3:7" x14ac:dyDescent="0.3">
      <c r="C439" s="21"/>
      <c r="D439" s="32"/>
      <c r="E439" s="32"/>
      <c r="F439" s="32"/>
      <c r="G439" s="32"/>
    </row>
    <row r="440" spans="3:7" x14ac:dyDescent="0.3">
      <c r="C440" s="21"/>
      <c r="D440" s="32"/>
      <c r="E440" s="32"/>
      <c r="F440" s="32"/>
      <c r="G440" s="32"/>
    </row>
    <row r="441" spans="3:7" x14ac:dyDescent="0.3">
      <c r="C441" s="21"/>
      <c r="D441" s="32"/>
      <c r="E441" s="32"/>
      <c r="F441" s="32"/>
      <c r="G441" s="32"/>
    </row>
    <row r="442" spans="3:7" x14ac:dyDescent="0.3">
      <c r="C442" s="21"/>
      <c r="D442" s="32"/>
      <c r="E442" s="32"/>
      <c r="F442" s="32"/>
      <c r="G442" s="32"/>
    </row>
    <row r="443" spans="3:7" x14ac:dyDescent="0.3">
      <c r="C443" s="21"/>
      <c r="D443" s="32"/>
      <c r="E443" s="32"/>
      <c r="F443" s="32"/>
      <c r="G443" s="32"/>
    </row>
    <row r="444" spans="3:7" x14ac:dyDescent="0.3">
      <c r="C444" s="21"/>
      <c r="D444" s="32"/>
      <c r="E444" s="32"/>
      <c r="F444" s="32"/>
      <c r="G444" s="32"/>
    </row>
    <row r="445" spans="3:7" x14ac:dyDescent="0.3">
      <c r="C445" s="21"/>
      <c r="D445" s="32"/>
      <c r="E445" s="32"/>
      <c r="F445" s="32"/>
      <c r="G445" s="32"/>
    </row>
    <row r="446" spans="3:7" x14ac:dyDescent="0.3">
      <c r="C446" s="21"/>
      <c r="D446" s="32"/>
      <c r="E446" s="32"/>
      <c r="F446" s="32"/>
      <c r="G446" s="32"/>
    </row>
    <row r="447" spans="3:7" x14ac:dyDescent="0.3">
      <c r="C447" s="21"/>
      <c r="D447" s="32"/>
      <c r="E447" s="32"/>
      <c r="F447" s="32"/>
      <c r="G447" s="32"/>
    </row>
    <row r="448" spans="3:7" x14ac:dyDescent="0.3">
      <c r="C448" s="21"/>
      <c r="D448" s="32"/>
      <c r="E448" s="32"/>
      <c r="F448" s="32"/>
      <c r="G448" s="32"/>
    </row>
    <row r="449" spans="3:7" x14ac:dyDescent="0.3">
      <c r="C449" s="21"/>
      <c r="D449" s="32"/>
      <c r="E449" s="32"/>
      <c r="F449" s="32"/>
      <c r="G449" s="32"/>
    </row>
    <row r="450" spans="3:7" x14ac:dyDescent="0.3">
      <c r="C450" s="21"/>
      <c r="D450" s="32"/>
      <c r="E450" s="32"/>
      <c r="F450" s="32"/>
      <c r="G450" s="32"/>
    </row>
    <row r="451" spans="3:7" x14ac:dyDescent="0.3">
      <c r="C451" s="21"/>
      <c r="D451" s="32"/>
      <c r="E451" s="32"/>
      <c r="F451" s="32"/>
      <c r="G451" s="32"/>
    </row>
    <row r="452" spans="3:7" x14ac:dyDescent="0.3">
      <c r="C452" s="21"/>
      <c r="D452" s="32"/>
      <c r="E452" s="32"/>
      <c r="F452" s="32"/>
      <c r="G452" s="32"/>
    </row>
    <row r="453" spans="3:7" x14ac:dyDescent="0.3">
      <c r="C453" s="21"/>
      <c r="D453" s="32"/>
      <c r="E453" s="32"/>
      <c r="F453" s="32"/>
      <c r="G453" s="32"/>
    </row>
    <row r="454" spans="3:7" x14ac:dyDescent="0.3">
      <c r="C454" s="21"/>
      <c r="D454" s="32"/>
      <c r="E454" s="32"/>
      <c r="F454" s="32"/>
      <c r="G454" s="32"/>
    </row>
    <row r="455" spans="3:7" x14ac:dyDescent="0.3">
      <c r="C455" s="21"/>
      <c r="D455" s="32"/>
      <c r="E455" s="32"/>
      <c r="F455" s="32"/>
      <c r="G455" s="32"/>
    </row>
    <row r="456" spans="3:7" x14ac:dyDescent="0.3">
      <c r="C456" s="21"/>
      <c r="D456" s="32"/>
      <c r="E456" s="32"/>
      <c r="F456" s="32"/>
      <c r="G456" s="32"/>
    </row>
    <row r="457" spans="3:7" x14ac:dyDescent="0.3">
      <c r="C457" s="21"/>
      <c r="D457" s="32"/>
      <c r="E457" s="32"/>
      <c r="F457" s="32"/>
      <c r="G457" s="32"/>
    </row>
    <row r="458" spans="3:7" x14ac:dyDescent="0.3">
      <c r="C458" s="21"/>
      <c r="D458" s="32"/>
      <c r="E458" s="32"/>
      <c r="F458" s="32"/>
      <c r="G458" s="32"/>
    </row>
    <row r="459" spans="3:7" x14ac:dyDescent="0.3">
      <c r="C459" s="21"/>
      <c r="D459" s="32"/>
      <c r="E459" s="32"/>
      <c r="F459" s="32"/>
      <c r="G459" s="32"/>
    </row>
    <row r="460" spans="3:7" x14ac:dyDescent="0.3">
      <c r="C460" s="21"/>
      <c r="D460" s="32"/>
      <c r="E460" s="32"/>
      <c r="F460" s="32"/>
      <c r="G460" s="32"/>
    </row>
    <row r="461" spans="3:7" x14ac:dyDescent="0.3">
      <c r="C461" s="21"/>
      <c r="D461" s="32"/>
      <c r="E461" s="32"/>
      <c r="F461" s="32"/>
      <c r="G461" s="32"/>
    </row>
    <row r="462" spans="3:7" x14ac:dyDescent="0.3">
      <c r="C462" s="21"/>
      <c r="D462" s="32"/>
      <c r="E462" s="32"/>
      <c r="F462" s="32"/>
      <c r="G462" s="32"/>
    </row>
    <row r="463" spans="3:7" x14ac:dyDescent="0.3">
      <c r="C463" s="21"/>
      <c r="D463" s="32"/>
      <c r="E463" s="32"/>
      <c r="F463" s="32"/>
      <c r="G463" s="32"/>
    </row>
    <row r="464" spans="3:7" x14ac:dyDescent="0.3">
      <c r="C464" s="21"/>
      <c r="D464" s="32"/>
      <c r="E464" s="32"/>
      <c r="F464" s="32"/>
      <c r="G464" s="32"/>
    </row>
    <row r="465" spans="3:7" x14ac:dyDescent="0.3">
      <c r="C465" s="21"/>
      <c r="D465" s="32"/>
      <c r="E465" s="32"/>
      <c r="F465" s="32"/>
      <c r="G465" s="32"/>
    </row>
    <row r="466" spans="3:7" x14ac:dyDescent="0.3">
      <c r="C466" s="21"/>
      <c r="D466" s="32"/>
      <c r="E466" s="32"/>
      <c r="F466" s="32"/>
      <c r="G466" s="32"/>
    </row>
    <row r="467" spans="3:7" x14ac:dyDescent="0.3">
      <c r="C467" s="21"/>
      <c r="D467" s="32"/>
      <c r="E467" s="32"/>
      <c r="F467" s="32"/>
      <c r="G467" s="32"/>
    </row>
    <row r="468" spans="3:7" x14ac:dyDescent="0.3">
      <c r="C468" s="21"/>
      <c r="D468" s="32"/>
      <c r="E468" s="32"/>
      <c r="F468" s="32"/>
      <c r="G468" s="32"/>
    </row>
    <row r="469" spans="3:7" x14ac:dyDescent="0.3">
      <c r="C469" s="21"/>
      <c r="D469" s="32"/>
      <c r="E469" s="32"/>
      <c r="F469" s="32"/>
      <c r="G469" s="32"/>
    </row>
    <row r="470" spans="3:7" x14ac:dyDescent="0.3">
      <c r="C470" s="21"/>
      <c r="D470" s="32"/>
      <c r="E470" s="32"/>
      <c r="F470" s="32"/>
      <c r="G470" s="32"/>
    </row>
    <row r="471" spans="3:7" x14ac:dyDescent="0.3">
      <c r="C471" s="21"/>
      <c r="D471" s="32"/>
      <c r="E471" s="32"/>
      <c r="F471" s="32"/>
      <c r="G471" s="32"/>
    </row>
    <row r="472" spans="3:7" x14ac:dyDescent="0.3">
      <c r="C472" s="21"/>
      <c r="D472" s="32"/>
      <c r="E472" s="32"/>
      <c r="F472" s="32"/>
      <c r="G472" s="32"/>
    </row>
    <row r="473" spans="3:7" x14ac:dyDescent="0.3">
      <c r="C473" s="21"/>
      <c r="D473" s="32"/>
      <c r="E473" s="32"/>
      <c r="F473" s="32"/>
      <c r="G473" s="32"/>
    </row>
    <row r="474" spans="3:7" x14ac:dyDescent="0.3">
      <c r="C474" s="21"/>
      <c r="D474" s="32"/>
      <c r="E474" s="32"/>
      <c r="F474" s="32"/>
      <c r="G474" s="32"/>
    </row>
    <row r="475" spans="3:7" x14ac:dyDescent="0.3">
      <c r="C475" s="21"/>
      <c r="D475" s="32"/>
      <c r="E475" s="32"/>
      <c r="F475" s="32"/>
      <c r="G475" s="32"/>
    </row>
    <row r="476" spans="3:7" x14ac:dyDescent="0.3">
      <c r="C476" s="21"/>
      <c r="D476" s="32"/>
      <c r="E476" s="32"/>
      <c r="F476" s="32"/>
      <c r="G476" s="32"/>
    </row>
    <row r="477" spans="3:7" x14ac:dyDescent="0.3">
      <c r="C477" s="21"/>
      <c r="D477" s="32"/>
      <c r="E477" s="32"/>
      <c r="F477" s="32"/>
      <c r="G477" s="32"/>
    </row>
    <row r="478" spans="3:7" x14ac:dyDescent="0.3">
      <c r="C478" s="21"/>
      <c r="D478" s="32"/>
      <c r="E478" s="32"/>
      <c r="F478" s="32"/>
      <c r="G478" s="32"/>
    </row>
    <row r="479" spans="3:7" x14ac:dyDescent="0.3">
      <c r="C479" s="21"/>
      <c r="D479" s="32"/>
      <c r="E479" s="32"/>
      <c r="F479" s="32"/>
      <c r="G479" s="32"/>
    </row>
    <row r="480" spans="3:7" x14ac:dyDescent="0.3">
      <c r="C480" s="21"/>
      <c r="D480" s="32"/>
      <c r="E480" s="32"/>
      <c r="F480" s="32"/>
      <c r="G480" s="32"/>
    </row>
    <row r="481" spans="3:7" x14ac:dyDescent="0.3">
      <c r="C481" s="21"/>
      <c r="D481" s="32"/>
      <c r="E481" s="32"/>
      <c r="F481" s="32"/>
      <c r="G481" s="32"/>
    </row>
    <row r="482" spans="3:7" x14ac:dyDescent="0.3">
      <c r="C482" s="21"/>
      <c r="D482" s="32"/>
      <c r="E482" s="32"/>
      <c r="F482" s="32"/>
      <c r="G482" s="32"/>
    </row>
    <row r="483" spans="3:7" x14ac:dyDescent="0.3">
      <c r="C483" s="21"/>
      <c r="D483" s="32"/>
      <c r="E483" s="32"/>
      <c r="F483" s="32"/>
      <c r="G483" s="32"/>
    </row>
    <row r="484" spans="3:7" x14ac:dyDescent="0.3">
      <c r="C484" s="21"/>
      <c r="D484" s="32"/>
      <c r="E484" s="32"/>
      <c r="F484" s="32"/>
      <c r="G484" s="32"/>
    </row>
    <row r="485" spans="3:7" x14ac:dyDescent="0.3">
      <c r="C485" s="21"/>
      <c r="D485" s="32"/>
      <c r="E485" s="32"/>
      <c r="F485" s="32"/>
      <c r="G485" s="32"/>
    </row>
    <row r="486" spans="3:7" x14ac:dyDescent="0.3">
      <c r="C486" s="21"/>
      <c r="D486" s="32"/>
      <c r="E486" s="32"/>
      <c r="F486" s="32"/>
      <c r="G486" s="32"/>
    </row>
    <row r="487" spans="3:7" x14ac:dyDescent="0.3">
      <c r="C487" s="21"/>
      <c r="D487" s="32"/>
      <c r="E487" s="32"/>
      <c r="F487" s="32"/>
      <c r="G487" s="32"/>
    </row>
    <row r="488" spans="3:7" x14ac:dyDescent="0.3">
      <c r="C488" s="21"/>
      <c r="D488" s="32"/>
      <c r="E488" s="32"/>
      <c r="F488" s="32"/>
      <c r="G488" s="32"/>
    </row>
    <row r="489" spans="3:7" x14ac:dyDescent="0.3">
      <c r="C489" s="21"/>
      <c r="D489" s="32"/>
      <c r="E489" s="32"/>
      <c r="F489" s="32"/>
      <c r="G489" s="32"/>
    </row>
    <row r="490" spans="3:7" x14ac:dyDescent="0.3">
      <c r="C490" s="21"/>
      <c r="D490" s="32"/>
      <c r="E490" s="32"/>
      <c r="F490" s="32"/>
      <c r="G490" s="32"/>
    </row>
    <row r="491" spans="3:7" x14ac:dyDescent="0.3">
      <c r="C491" s="21"/>
      <c r="D491" s="32"/>
      <c r="E491" s="32"/>
      <c r="F491" s="32"/>
      <c r="G491" s="32"/>
    </row>
    <row r="492" spans="3:7" x14ac:dyDescent="0.3">
      <c r="C492" s="21"/>
      <c r="D492" s="32"/>
      <c r="E492" s="32"/>
      <c r="F492" s="32"/>
      <c r="G492" s="32"/>
    </row>
    <row r="493" spans="3:7" x14ac:dyDescent="0.3">
      <c r="C493" s="21"/>
      <c r="D493" s="32"/>
      <c r="E493" s="32"/>
      <c r="F493" s="32"/>
      <c r="G493" s="32"/>
    </row>
    <row r="494" spans="3:7" x14ac:dyDescent="0.3">
      <c r="C494" s="21"/>
      <c r="D494" s="32"/>
      <c r="E494" s="32"/>
      <c r="F494" s="32"/>
      <c r="G494" s="32"/>
    </row>
    <row r="495" spans="3:7" x14ac:dyDescent="0.3">
      <c r="C495" s="21"/>
      <c r="D495" s="32"/>
      <c r="E495" s="32"/>
      <c r="F495" s="32"/>
      <c r="G495" s="32"/>
    </row>
    <row r="496" spans="3:7" x14ac:dyDescent="0.3">
      <c r="C496" s="21"/>
      <c r="D496" s="32"/>
      <c r="E496" s="32"/>
      <c r="F496" s="32"/>
      <c r="G496" s="32"/>
    </row>
    <row r="497" spans="3:7" x14ac:dyDescent="0.3">
      <c r="C497" s="21"/>
      <c r="D497" s="32"/>
      <c r="E497" s="32"/>
      <c r="F497" s="32"/>
      <c r="G497" s="32"/>
    </row>
    <row r="498" spans="3:7" x14ac:dyDescent="0.3">
      <c r="C498" s="21"/>
      <c r="D498" s="32"/>
      <c r="E498" s="32"/>
      <c r="F498" s="32"/>
      <c r="G498" s="32"/>
    </row>
    <row r="499" spans="3:7" x14ac:dyDescent="0.3">
      <c r="C499" s="21"/>
      <c r="D499" s="32"/>
      <c r="E499" s="32"/>
      <c r="F499" s="32"/>
      <c r="G499" s="32"/>
    </row>
    <row r="500" spans="3:7" x14ac:dyDescent="0.3">
      <c r="C500" s="21"/>
      <c r="D500" s="32"/>
      <c r="E500" s="32"/>
      <c r="F500" s="32"/>
      <c r="G500" s="32"/>
    </row>
    <row r="501" spans="3:7" x14ac:dyDescent="0.3">
      <c r="C501" s="21"/>
      <c r="D501" s="32"/>
      <c r="E501" s="32"/>
      <c r="F501" s="32"/>
      <c r="G501" s="32"/>
    </row>
    <row r="502" spans="3:7" x14ac:dyDescent="0.3">
      <c r="C502" s="21"/>
      <c r="D502" s="32"/>
      <c r="E502" s="32"/>
      <c r="F502" s="32"/>
      <c r="G502" s="32"/>
    </row>
    <row r="503" spans="3:7" x14ac:dyDescent="0.3">
      <c r="C503" s="21"/>
      <c r="D503" s="32"/>
      <c r="E503" s="32"/>
      <c r="F503" s="32"/>
      <c r="G503" s="32"/>
    </row>
    <row r="504" spans="3:7" x14ac:dyDescent="0.3">
      <c r="C504" s="21"/>
      <c r="D504" s="32"/>
      <c r="E504" s="32"/>
      <c r="F504" s="32"/>
      <c r="G504" s="32"/>
    </row>
    <row r="505" spans="3:7" x14ac:dyDescent="0.3">
      <c r="C505" s="21"/>
      <c r="D505" s="32"/>
      <c r="E505" s="32"/>
      <c r="F505" s="32"/>
      <c r="G505" s="32"/>
    </row>
    <row r="506" spans="3:7" x14ac:dyDescent="0.3">
      <c r="C506" s="21"/>
      <c r="D506" s="32"/>
      <c r="E506" s="32"/>
      <c r="F506" s="32"/>
      <c r="G506" s="32"/>
    </row>
    <row r="507" spans="3:7" x14ac:dyDescent="0.3">
      <c r="C507" s="21"/>
      <c r="D507" s="32"/>
      <c r="E507" s="32"/>
      <c r="F507" s="32"/>
      <c r="G507" s="32"/>
    </row>
    <row r="508" spans="3:7" x14ac:dyDescent="0.3">
      <c r="C508" s="21"/>
      <c r="D508" s="32"/>
      <c r="E508" s="32"/>
      <c r="F508" s="32"/>
      <c r="G508" s="32"/>
    </row>
    <row r="509" spans="3:7" x14ac:dyDescent="0.3">
      <c r="C509" s="21"/>
      <c r="D509" s="32"/>
      <c r="E509" s="32"/>
      <c r="F509" s="32"/>
      <c r="G509" s="32"/>
    </row>
    <row r="510" spans="3:7" x14ac:dyDescent="0.3">
      <c r="C510" s="21"/>
      <c r="D510" s="32"/>
      <c r="E510" s="32"/>
      <c r="F510" s="32"/>
      <c r="G510" s="32"/>
    </row>
    <row r="511" spans="3:7" x14ac:dyDescent="0.3">
      <c r="C511" s="21"/>
      <c r="D511" s="32"/>
      <c r="E511" s="32"/>
      <c r="F511" s="32"/>
      <c r="G511" s="32"/>
    </row>
    <row r="512" spans="3:7" x14ac:dyDescent="0.3">
      <c r="C512" s="21"/>
      <c r="D512" s="32"/>
      <c r="E512" s="32"/>
      <c r="F512" s="32"/>
      <c r="G512" s="32"/>
    </row>
  </sheetData>
  <mergeCells count="1">
    <mergeCell ref="F3:G3"/>
  </mergeCells>
  <conditionalFormatting sqref="C48:C132 C142:C400 C401:G512">
    <cfRule type="expression" dxfId="3" priority="4">
      <formula>C48&lt;&gt;""</formula>
    </cfRule>
  </conditionalFormatting>
  <conditionalFormatting sqref="C133:C141">
    <cfRule type="expression" dxfId="2" priority="1">
      <formula>C133&lt;&gt;""</formula>
    </cfRule>
  </conditionalFormatting>
  <conditionalFormatting sqref="C13:G13">
    <cfRule type="expression" dxfId="1" priority="2">
      <formula>$C$13=0</formula>
    </cfRule>
  </conditionalFormatting>
  <conditionalFormatting sqref="C13:G400">
    <cfRule type="expression" dxfId="0" priority="3">
      <formula>ROW()&lt;COUNTIF($C:$C,"&gt;0")+14</formula>
    </cfRule>
  </conditionalFormatting>
  <dataValidations disablePrompts="1" count="1">
    <dataValidation type="list" allowBlank="1" showInputMessage="1" showErrorMessage="1" sqref="D6" xr:uid="{00000000-0002-0000-0100-000000000000}">
      <formula1>Periodos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C6C7-9B7E-44A7-9758-C8E23619665B}">
  <dimension ref="A1:B7"/>
  <sheetViews>
    <sheetView workbookViewId="0">
      <selection activeCell="A2" sqref="A2:B7"/>
    </sheetView>
  </sheetViews>
  <sheetFormatPr defaultColWidth="10.6640625" defaultRowHeight="15" x14ac:dyDescent="0.25"/>
  <sheetData>
    <row r="1" spans="1:2" ht="15.6" x14ac:dyDescent="0.3">
      <c r="A1" s="36" t="s">
        <v>23</v>
      </c>
      <c r="B1" s="36"/>
    </row>
    <row r="2" spans="1:2" ht="15.6" x14ac:dyDescent="0.3">
      <c r="A2" s="15" t="s">
        <v>9</v>
      </c>
      <c r="B2" s="16">
        <f>360/360</f>
        <v>1</v>
      </c>
    </row>
    <row r="3" spans="1:2" ht="15.6" x14ac:dyDescent="0.3">
      <c r="A3" s="15" t="s">
        <v>11</v>
      </c>
      <c r="B3" s="16">
        <v>2</v>
      </c>
    </row>
    <row r="4" spans="1:2" ht="15.6" x14ac:dyDescent="0.3">
      <c r="A4" s="15" t="s">
        <v>13</v>
      </c>
      <c r="B4" s="16">
        <v>3</v>
      </c>
    </row>
    <row r="5" spans="1:2" ht="15.6" x14ac:dyDescent="0.3">
      <c r="A5" s="15" t="s">
        <v>15</v>
      </c>
      <c r="B5" s="16">
        <v>4</v>
      </c>
    </row>
    <row r="6" spans="1:2" ht="15.6" x14ac:dyDescent="0.3">
      <c r="A6" s="15" t="s">
        <v>22</v>
      </c>
      <c r="B6" s="16">
        <v>6</v>
      </c>
    </row>
    <row r="7" spans="1:2" ht="15.6" x14ac:dyDescent="0.3">
      <c r="A7" s="15" t="s">
        <v>16</v>
      </c>
      <c r="B7" s="16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- AYUDA -</vt:lpstr>
      <vt:lpstr>Amortización de Préstamos</vt:lpstr>
      <vt:lpstr>Auxiliar</vt:lpstr>
      <vt:lpstr>Periodicidad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Jose Ramon Romero</cp:lastModifiedBy>
  <dcterms:created xsi:type="dcterms:W3CDTF">2019-04-24T20:40:42Z</dcterms:created>
  <dcterms:modified xsi:type="dcterms:W3CDTF">2024-09-12T00:08:50Z</dcterms:modified>
</cp:coreProperties>
</file>